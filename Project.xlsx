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Project\"/>
    </mc:Choice>
  </mc:AlternateContent>
  <xr:revisionPtr revIDLastSave="0" documentId="8_{42E64BF8-5057-494E-9A1B-6292C6496345}" xr6:coauthVersionLast="47" xr6:coauthVersionMax="47" xr10:uidLastSave="{00000000-0000-0000-0000-000000000000}"/>
  <bookViews>
    <workbookView xWindow="-108" yWindow="-108" windowWidth="23256" windowHeight="13896" tabRatio="829" activeTab="1" xr2:uid="{F612EB6C-DD6F-4E1C-A93D-9429ABAE0F3D}"/>
  </bookViews>
  <sheets>
    <sheet name="Pivot Report" sheetId="1" r:id="rId1"/>
    <sheet name="Dashboard" sheetId="2" r:id="rId2"/>
    <sheet name="Daily ER no of patients" sheetId="3" r:id="rId3"/>
    <sheet name="Average waittime per day" sheetId="4" r:id="rId4"/>
    <sheet name="Average Satisfaction Score" sheetId="5" r:id="rId5"/>
  </sheets>
  <definedNames>
    <definedName name="Slicer_Date__Month">#N/A</definedName>
    <definedName name="Slicer_Date__Year">#N/A</definedName>
  </definedNames>
  <calcPr calcId="191029"/>
  <pivotCaches>
    <pivotCache cacheId="4102" r:id="rId6"/>
    <pivotCache cacheId="4105" r:id="rId7"/>
    <pivotCache cacheId="4108" r:id="rId8"/>
    <pivotCache cacheId="4111" r:id="rId9"/>
    <pivotCache cacheId="4114" r:id="rId10"/>
    <pivotCache cacheId="4117" r:id="rId11"/>
    <pivotCache cacheId="4120" r:id="rId12"/>
    <pivotCache cacheId="4123" r:id="rId13"/>
    <pivotCache cacheId="4126" r:id="rId14"/>
    <pivotCache cacheId="4129" r:id="rId15"/>
    <pivotCache cacheId="4132" r:id="rId16"/>
    <pivotCache cacheId="4135" r:id="rId17"/>
  </pivotCaches>
  <extLst>
    <ext xmlns:x14="http://schemas.microsoft.com/office/spreadsheetml/2009/9/main" uri="{876F7934-8845-4945-9796-88D515C7AA90}">
      <x14:pivotCaches>
        <pivotCache cacheId="347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9d359865-d44f-4f9a-84d6-530576fc7890" name="Hospital Emergency Room Data" connection="Query - Hospital Emergency Room Data"/>
          <x15:modelTable id="Calender_Table_b0130235-bc62-4294-9f77-4ef928d1300d"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3" i="1" l="1"/>
  <c r="B53" i="1"/>
  <c r="C53" i="1"/>
  <c r="B54" i="1"/>
  <c r="C54" i="1"/>
  <c r="A5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DFD7CC-D7D7-4549-9C90-5FA9FC058D69}" name="Query - Calender_Table" description="Connection to the 'Calender_Table' query in the workbook." type="100" refreshedVersion="8" minRefreshableVersion="5">
    <extLst>
      <ext xmlns:x15="http://schemas.microsoft.com/office/spreadsheetml/2010/11/main" uri="{DE250136-89BD-433C-8126-D09CA5730AF9}">
        <x15:connection id="63fbc9e2-8746-442a-867e-f7495a0bfd75"/>
      </ext>
    </extLst>
  </connection>
  <connection id="2" xr16:uid="{4E40B4DE-1951-49B7-BCC1-3ED4781EFB8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a46db215-5bf3-4023-b274-5efc419a39e6"/>
      </ext>
    </extLst>
  </connection>
  <connection id="3" xr16:uid="{3BA7FA04-2059-4FE3-97C8-9F820428704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<sst xmlns="http://schemas.openxmlformats.org/spreadsheetml/2006/main" count="150" uniqueCount="74">
  <si>
    <t>Grand Total</t>
  </si>
  <si>
    <t>2024</t>
  </si>
  <si>
    <t>No.of Patients</t>
  </si>
  <si>
    <t>Distinct Count of Patient Id</t>
  </si>
  <si>
    <t>Average of Patient Waittime</t>
  </si>
  <si>
    <t>Average of Patient Satisfaction Score</t>
  </si>
  <si>
    <t>Row Labels</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</si>
  <si>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</si>
  <si>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</si>
  <si>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</si>
  <si>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</si>
  <si>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</si>
  <si>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</si>
  <si>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</si>
  <si>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</si>
  <si>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</si>
  <si>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</si>
  <si>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</si>
  <si>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</si>
  <si>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</si>
  <si>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</si>
  <si>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</si>
  <si>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</si>
  <si>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</si>
  <si>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</si>
  <si>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</si>
  <si>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</si>
  <si>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</si>
  <si>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</si>
  <si>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</si>
  <si>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</si>
  <si>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</si>
  <si>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</si>
  <si>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</si>
  <si>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</si>
  <si>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</si>
  <si>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</si>
  <si>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Daily trends of no of patients</t>
  </si>
  <si>
    <t>Average Wait time</t>
  </si>
  <si>
    <t>Count of Patient Admission Flag</t>
  </si>
  <si>
    <t>Count of Patient Attend Status</t>
  </si>
  <si>
    <t>Admitted</t>
  </si>
  <si>
    <t>Not Admitted</t>
  </si>
  <si>
    <t>Count of Patient Admission Flag2</t>
  </si>
  <si>
    <t>Admission Status</t>
  </si>
  <si>
    <t>No of Patients</t>
  </si>
  <si>
    <t>% Status</t>
  </si>
  <si>
    <t>0-9</t>
  </si>
  <si>
    <t>10-19</t>
  </si>
  <si>
    <t>20-29</t>
  </si>
  <si>
    <t>30-39</t>
  </si>
  <si>
    <t>40-49</t>
  </si>
  <si>
    <t>50-59</t>
  </si>
  <si>
    <t>60-69</t>
  </si>
  <si>
    <t>70-79</t>
  </si>
  <si>
    <t>Count of Age-Group</t>
  </si>
  <si>
    <t>Agr Group wise analysis</t>
  </si>
  <si>
    <t>Delay</t>
  </si>
  <si>
    <t>Ontime</t>
  </si>
  <si>
    <t>Attend Status</t>
  </si>
  <si>
    <t>Female</t>
  </si>
  <si>
    <t>Male</t>
  </si>
  <si>
    <t>Count of Patient Gender</t>
  </si>
  <si>
    <t>Gender Wise</t>
  </si>
  <si>
    <t>Department wise referall</t>
  </si>
  <si>
    <t>Cardiology</t>
  </si>
  <si>
    <t>Gastroenterology</t>
  </si>
  <si>
    <t>General Practice</t>
  </si>
  <si>
    <t>Neurology</t>
  </si>
  <si>
    <t>None</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</si>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</sst>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rgb="FF0070C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pivotButton="1"/>
    <xf numFmtId="0" fontId="0" fillId="0" borderId="0" xfId="0" applyNumberFormat="1"/>
    <xf numFmtId="2" fontId="0" fillId="0" borderId="0" xfId="0" applyNumberFormat="1"/>
    <xf numFmtId="0" fontId="0" fillId="2" borderId="0" xfId="0" applyFill="1"/>
    <xf numFmtId="0" fontId="0" fillId="0" borderId="0" xfId="0" applyAlignment="1">
      <alignment horizontal="left"/>
    </xf>
    <xf numFmtId="10" fontId="0" fillId="0" borderId="0" xfId="0" applyNumberFormat="1"/>
    <xf numFmtId="0" fontId="0" fillId="3" borderId="0" xfId="0" applyFill="1"/>
    <xf numFmtId="0" fontId="0" fillId="4" borderId="0" xfId="0" applyFill="1"/>
    <xf numFmtId="0" fontId="0" fillId="4" borderId="0" xfId="0" applyFill="1" applyAlignment="1">
      <alignment horizontal="center" vertical="center"/>
    </xf>
    <xf numFmtId="0" fontId="0" fillId="3" borderId="0" xfId="0" applyFill="1" applyAlignment="1">
      <alignment horizontal="center" vertical="center"/>
    </xf>
    <xf numFmtId="9" fontId="0" fillId="3" borderId="0" xfId="1" applyFont="1" applyFill="1" applyAlignment="1">
      <alignment horizontal="center" vertical="center"/>
    </xf>
    <xf numFmtId="1" fontId="0" fillId="0" borderId="0" xfId="0" applyNumberFormat="1"/>
  </cellXfs>
  <cellStyles count="2">
    <cellStyle name="Normal" xfId="0" builtinId="0"/>
    <cellStyle name="Percent" xfId="1" builtinId="5"/>
  </cellStyles>
  <dxfs count="308">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fill>
        <patternFill>
          <bgColor theme="0" tint="-0.24994659260841701"/>
        </patternFill>
      </fill>
    </dxf>
    <dxf>
      <font>
        <sz val="7"/>
        <color theme="1"/>
      </font>
      <fill>
        <patternFill patternType="solid">
          <bgColor theme="0" tint="-4.9989318521683403E-2"/>
        </patternFill>
      </fill>
      <border diagonalUp="0" diagonalDown="0">
        <left/>
        <right/>
        <top/>
        <bottom/>
        <vertical/>
        <horizontal/>
      </bord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s>
  <tableStyles count="1" defaultTableStyle="TableStyleMedium2" defaultPivotStyle="PivotStyleLight16">
    <tableStyle name=" Mystyle" pivot="0" table="0" count="10" xr9:uid="{93CAE497-2C35-467E-8E93-0CDBEB3A5585}">
      <tableStyleElement type="wholeTable" dxfId="175"/>
      <tableStyleElement type="headerRow" dxfId="174"/>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2499465926084170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2499465926084170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2499465926084170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2499465926084170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 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2665D63E-CC96-4AE7-B7CE-DA765B2BC5F4}" type="CELLRANGE">
                  <a:rPr lang="en-US"/>
                  <a:pPr>
                    <a:defRPr sz="700"/>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D53571E4-2018-44CD-B720-0DF190C3BECB}" type="CELLRANGE">
                  <a:rPr lang="en-US"/>
                  <a:pPr>
                    <a:defRPr sz="700"/>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1.2705294749548715E-2"/>
          <c:y val="6.384565301430345E-2"/>
          <c:w val="0.54282257439339066"/>
          <c:h val="0.8416746864975212"/>
        </c:manualLayout>
      </c:layout>
      <c:barChart>
        <c:barDir val="bar"/>
        <c:grouping val="clustered"/>
        <c:varyColors val="0"/>
        <c:ser>
          <c:idx val="0"/>
          <c:order val="0"/>
          <c:tx>
            <c:strRef>
              <c:f>'Pivot Report'!$C$45:$C$46</c:f>
              <c:strCache>
                <c:ptCount val="1"/>
                <c:pt idx="0">
                  <c:v>Count of Patient Admission Flag</c:v>
                </c:pt>
              </c:strCache>
            </c:strRef>
          </c:tx>
          <c:spPr>
            <a:solidFill>
              <a:schemeClr val="accent1"/>
            </a:solidFill>
            <a:ln>
              <a:noFill/>
            </a:ln>
            <a:effectLst/>
          </c:spPr>
          <c:invertIfNegative val="0"/>
          <c:dLbls>
            <c:dLbl>
              <c:idx val="0"/>
              <c:tx>
                <c:rich>
                  <a:bodyPr/>
                  <a:lstStyle/>
                  <a:p>
                    <a:fld id="{2665D63E-CC96-4AE7-B7CE-DA765B2BC5F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1"/>
              <c:tx>
                <c:rich>
                  <a:bodyPr/>
                  <a:lstStyle/>
                  <a:p>
                    <a:fld id="{D53571E4-2018-44CD-B720-0DF190C3BEC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Report'!$C$45:$C$46</c:f>
              <c:strCache>
                <c:ptCount val="2"/>
                <c:pt idx="0">
                  <c:v>Admitted</c:v>
                </c:pt>
                <c:pt idx="1">
                  <c:v>Not Admitted</c:v>
                </c:pt>
              </c:strCache>
            </c:strRef>
          </c:cat>
          <c:val>
            <c:numRef>
              <c:f>'Pivot Report'!$C$45:$C$46</c:f>
              <c:numCache>
                <c:formatCode>0.00</c:formatCode>
                <c:ptCount val="2"/>
                <c:pt idx="0">
                  <c:v>217</c:v>
                </c:pt>
                <c:pt idx="1">
                  <c:v>252</c:v>
                </c:pt>
              </c:numCache>
            </c:numRef>
          </c:val>
          <c:extLst>
            <c:ext xmlns:c16="http://schemas.microsoft.com/office/drawing/2014/chart" uri="{C3380CC4-5D6E-409C-BE32-E72D297353CC}">
              <c16:uniqueId val="{00000005-18D3-4DFD-AFA4-34AC37E3A3CF}"/>
            </c:ext>
          </c:extLst>
        </c:ser>
        <c:ser>
          <c:idx val="1"/>
          <c:order val="1"/>
          <c:tx>
            <c:strRef>
              <c:f>'Pivot Report'!$C$45:$C$46</c:f>
              <c:strCache>
                <c:ptCount val="1"/>
                <c:pt idx="0">
                  <c:v>Count of Patient Admission Flag2</c:v>
                </c:pt>
              </c:strCache>
            </c:strRef>
          </c:tx>
          <c:spPr>
            <a:solidFill>
              <a:schemeClr val="accent2"/>
            </a:solidFill>
            <a:ln>
              <a:noFill/>
            </a:ln>
            <a:effectLst/>
          </c:spPr>
          <c:invertIfNegative val="0"/>
          <c:cat>
            <c:strRef>
              <c:f>'Pivot Report'!$C$45:$C$46</c:f>
              <c:strCache>
                <c:ptCount val="2"/>
                <c:pt idx="0">
                  <c:v>Admitted</c:v>
                </c:pt>
                <c:pt idx="1">
                  <c:v>Not Admitted</c:v>
                </c:pt>
              </c:strCache>
            </c:strRef>
          </c:cat>
          <c:val>
            <c:numRef>
              <c:f>'Pivot Report'!$C$45:$C$46</c:f>
              <c:numCache>
                <c:formatCode>0.00%</c:formatCode>
                <c:ptCount val="2"/>
                <c:pt idx="0">
                  <c:v>0.46268656716417911</c:v>
                </c:pt>
                <c:pt idx="1">
                  <c:v>0.53731343283582089</c:v>
                </c:pt>
              </c:numCache>
            </c:numRef>
          </c:val>
          <c:extLst>
            <c:ext xmlns:c16="http://schemas.microsoft.com/office/drawing/2014/chart" uri="{C3380CC4-5D6E-409C-BE32-E72D297353CC}">
              <c16:uniqueId val="{00000006-18D3-4DFD-AFA4-34AC37E3A3CF}"/>
            </c:ext>
          </c:extLst>
        </c:ser>
        <c:dLbls>
          <c:showLegendKey val="0"/>
          <c:showVal val="0"/>
          <c:showCatName val="0"/>
          <c:showSerName val="0"/>
          <c:showPercent val="0"/>
          <c:showBubbleSize val="0"/>
        </c:dLbls>
        <c:gapWidth val="182"/>
        <c:axId val="383453648"/>
        <c:axId val="383450768"/>
      </c:barChart>
      <c:catAx>
        <c:axId val="383453648"/>
        <c:scaling>
          <c:orientation val="minMax"/>
        </c:scaling>
        <c:delete val="1"/>
        <c:axPos val="l"/>
        <c:numFmt formatCode="General" sourceLinked="1"/>
        <c:majorTickMark val="none"/>
        <c:minorTickMark val="none"/>
        <c:tickLblPos val="nextTo"/>
        <c:crossAx val="383450768"/>
        <c:crosses val="autoZero"/>
        <c:auto val="1"/>
        <c:lblAlgn val="ctr"/>
        <c:lblOffset val="100"/>
        <c:noMultiLvlLbl val="0"/>
      </c:catAx>
      <c:valAx>
        <c:axId val="383450768"/>
        <c:scaling>
          <c:orientation val="minMax"/>
        </c:scaling>
        <c:delete val="1"/>
        <c:axPos val="b"/>
        <c:numFmt formatCode="0.00" sourceLinked="1"/>
        <c:majorTickMark val="none"/>
        <c:minorTickMark val="none"/>
        <c:tickLblPos val="nextTo"/>
        <c:crossAx val="38345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847246333746508E-3"/>
          <c:y val="1.2506774732243313E-2"/>
          <c:w val="0.9879455119991466"/>
          <c:h val="0.93914158296261463"/>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Report'!$E$5:$E$35</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1-1BA7-4E5F-9060-31C247313F7B}"/>
            </c:ext>
          </c:extLst>
        </c:ser>
        <c:dLbls>
          <c:showLegendKey val="0"/>
          <c:showVal val="0"/>
          <c:showCatName val="0"/>
          <c:showSerName val="0"/>
          <c:showPercent val="0"/>
          <c:showBubbleSize val="0"/>
        </c:dLbls>
        <c:axId val="56507615"/>
        <c:axId val="56508095"/>
      </c:areaChart>
      <c:catAx>
        <c:axId val="56507615"/>
        <c:scaling>
          <c:orientation val="minMax"/>
        </c:scaling>
        <c:delete val="1"/>
        <c:axPos val="b"/>
        <c:numFmt formatCode="General" sourceLinked="1"/>
        <c:majorTickMark val="out"/>
        <c:minorTickMark val="none"/>
        <c:tickLblPos val="nextTo"/>
        <c:crossAx val="56508095"/>
        <c:crosses val="autoZero"/>
        <c:auto val="1"/>
        <c:lblAlgn val="ctr"/>
        <c:lblOffset val="100"/>
        <c:noMultiLvlLbl val="0"/>
      </c:catAx>
      <c:valAx>
        <c:axId val="56508095"/>
        <c:scaling>
          <c:orientation val="minMax"/>
        </c:scaling>
        <c:delete val="1"/>
        <c:axPos val="l"/>
        <c:numFmt formatCode="General" sourceLinked="1"/>
        <c:majorTickMark val="none"/>
        <c:minorTickMark val="none"/>
        <c:tickLblPos val="nextTo"/>
        <c:crossAx val="565076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503946554797097E-4"/>
          <c:y val="0.19786875792872793"/>
          <c:w val="0.99793391520078012"/>
          <c:h val="0.79697995301948177"/>
        </c:manualLayout>
      </c:layout>
      <c:areaChart>
        <c:grouping val="standard"/>
        <c:varyColors val="0"/>
        <c:ser>
          <c:idx val="0"/>
          <c:order val="0"/>
          <c:tx>
            <c:strRef>
              <c:f>'Pivot Report'!$H$4</c:f>
              <c:strCache>
                <c:ptCount val="1"/>
                <c:pt idx="0">
                  <c:v>Total</c:v>
                </c:pt>
              </c:strCache>
            </c:strRef>
          </c:tx>
          <c:spPr>
            <a:solidFill>
              <a:schemeClr val="accent1"/>
            </a:solidFill>
            <a:ln w="25400">
              <a:noFill/>
            </a:ln>
            <a:effectLst/>
          </c:spPr>
          <c:cat>
            <c:strRef>
              <c:f>'Pivot Report'!$G$5:$G$35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Report'!$H$5:$H$35</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1-EF88-47F9-A7C9-A9FA4EFDA972}"/>
            </c:ext>
          </c:extLst>
        </c:ser>
        <c:dLbls>
          <c:showLegendKey val="0"/>
          <c:showVal val="0"/>
          <c:showCatName val="0"/>
          <c:showSerName val="0"/>
          <c:showPercent val="0"/>
          <c:showBubbleSize val="0"/>
        </c:dLbls>
        <c:axId val="48171695"/>
        <c:axId val="48172175"/>
      </c:areaChart>
      <c:catAx>
        <c:axId val="48171695"/>
        <c:scaling>
          <c:orientation val="minMax"/>
        </c:scaling>
        <c:delete val="1"/>
        <c:axPos val="b"/>
        <c:numFmt formatCode="General" sourceLinked="1"/>
        <c:majorTickMark val="out"/>
        <c:minorTickMark val="none"/>
        <c:tickLblPos val="nextTo"/>
        <c:crossAx val="48172175"/>
        <c:crosses val="autoZero"/>
        <c:auto val="1"/>
        <c:lblAlgn val="ctr"/>
        <c:lblOffset val="100"/>
        <c:noMultiLvlLbl val="0"/>
      </c:catAx>
      <c:valAx>
        <c:axId val="48172175"/>
        <c:scaling>
          <c:orientation val="minMax"/>
        </c:scaling>
        <c:delete val="1"/>
        <c:axPos val="l"/>
        <c:numFmt formatCode="0.00" sourceLinked="1"/>
        <c:majorTickMark val="none"/>
        <c:minorTickMark val="none"/>
        <c:tickLblPos val="nextTo"/>
        <c:crossAx val="481716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758612886569315E-2"/>
          <c:y val="0.23049229987427694"/>
          <c:w val="0.98275776944392446"/>
          <c:h val="0.76056961334675122"/>
        </c:manualLayout>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Report'!$J$5:$J$32</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Report'!$K$5:$K$32</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1-D494-4062-85A5-94D9476EC0CD}"/>
            </c:ext>
          </c:extLst>
        </c:ser>
        <c:dLbls>
          <c:showLegendKey val="0"/>
          <c:showVal val="0"/>
          <c:showCatName val="0"/>
          <c:showSerName val="0"/>
          <c:showPercent val="0"/>
          <c:showBubbleSize val="0"/>
        </c:dLbls>
        <c:axId val="51249712"/>
        <c:axId val="51246832"/>
      </c:areaChart>
      <c:catAx>
        <c:axId val="51249712"/>
        <c:scaling>
          <c:orientation val="minMax"/>
        </c:scaling>
        <c:delete val="1"/>
        <c:axPos val="b"/>
        <c:numFmt formatCode="General" sourceLinked="1"/>
        <c:majorTickMark val="out"/>
        <c:minorTickMark val="none"/>
        <c:tickLblPos val="nextTo"/>
        <c:crossAx val="51246832"/>
        <c:crosses val="autoZero"/>
        <c:auto val="1"/>
        <c:lblAlgn val="ctr"/>
        <c:lblOffset val="100"/>
        <c:noMultiLvlLbl val="0"/>
      </c:catAx>
      <c:valAx>
        <c:axId val="51246832"/>
        <c:scaling>
          <c:orientation val="minMax"/>
        </c:scaling>
        <c:delete val="1"/>
        <c:axPos val="l"/>
        <c:numFmt formatCode="0.00" sourceLinked="1"/>
        <c:majorTickMark val="none"/>
        <c:minorTickMark val="none"/>
        <c:tickLblPos val="nextTo"/>
        <c:crossAx val="512497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454910839549E-2"/>
          <c:y val="8.2956086191634082E-2"/>
          <c:w val="0.93888888888888888"/>
          <c:h val="0.62724262706854117"/>
        </c:manualLayout>
      </c:layout>
      <c:barChart>
        <c:barDir val="col"/>
        <c:grouping val="clustered"/>
        <c:varyColors val="0"/>
        <c:ser>
          <c:idx val="0"/>
          <c:order val="0"/>
          <c:tx>
            <c:strRef>
              <c:f>'Pivot Report'!$B$61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Report'!$A$62:$A$70</c:f>
              <c:strCache>
                <c:ptCount val="8"/>
                <c:pt idx="0">
                  <c:v>0-9</c:v>
                </c:pt>
                <c:pt idx="1">
                  <c:v>10-19</c:v>
                </c:pt>
                <c:pt idx="2">
                  <c:v>20-29</c:v>
                </c:pt>
                <c:pt idx="3">
                  <c:v>30-39</c:v>
                </c:pt>
                <c:pt idx="4">
                  <c:v>40-49</c:v>
                </c:pt>
                <c:pt idx="5">
                  <c:v>50-59</c:v>
                </c:pt>
                <c:pt idx="6">
                  <c:v>60-69</c:v>
                </c:pt>
                <c:pt idx="7">
                  <c:v>70-79</c:v>
                </c:pt>
              </c:strCache>
            </c:strRef>
          </c:cat>
          <c:val>
            <c:numRef>
              <c:f>'Pivot Report'!$B$62:$B$70</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1-456A-47B3-B0FE-36651872BBBC}"/>
            </c:ext>
          </c:extLst>
        </c:ser>
        <c:dLbls>
          <c:showLegendKey val="0"/>
          <c:showVal val="0"/>
          <c:showCatName val="0"/>
          <c:showSerName val="0"/>
          <c:showPercent val="0"/>
          <c:showBubbleSize val="0"/>
        </c:dLbls>
        <c:gapWidth val="219"/>
        <c:overlap val="-27"/>
        <c:axId val="1105512880"/>
        <c:axId val="1105513360"/>
      </c:barChart>
      <c:catAx>
        <c:axId val="110551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105513360"/>
        <c:crosses val="autoZero"/>
        <c:auto val="1"/>
        <c:lblAlgn val="ctr"/>
        <c:lblOffset val="100"/>
        <c:noMultiLvlLbl val="0"/>
      </c:catAx>
      <c:valAx>
        <c:axId val="1105513360"/>
        <c:scaling>
          <c:orientation val="minMax"/>
        </c:scaling>
        <c:delete val="1"/>
        <c:axPos val="l"/>
        <c:numFmt formatCode="0" sourceLinked="1"/>
        <c:majorTickMark val="none"/>
        <c:minorTickMark val="none"/>
        <c:tickLblPos val="nextTo"/>
        <c:crossAx val="1105512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Report!PivotTable9</c:name>
    <c:fmtId val="2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3.1782702791652677E-2"/>
          <c:y val="0.15326247276762156"/>
          <c:w val="0.92558581995379441"/>
          <c:h val="0.84673752723237838"/>
        </c:manualLayout>
      </c:layout>
      <c:pieChart>
        <c:varyColors val="1"/>
        <c:ser>
          <c:idx val="0"/>
          <c:order val="0"/>
          <c:tx>
            <c:strRef>
              <c:f>'Pivot Report'!$B$78</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Report'!$A$79:$A$81</c:f>
              <c:strCache>
                <c:ptCount val="2"/>
                <c:pt idx="0">
                  <c:v>Delay</c:v>
                </c:pt>
                <c:pt idx="1">
                  <c:v>Ontime</c:v>
                </c:pt>
              </c:strCache>
            </c:strRef>
          </c:cat>
          <c:val>
            <c:numRef>
              <c:f>'Pivot Report'!$B$79:$B$81</c:f>
              <c:numCache>
                <c:formatCode>0</c:formatCode>
                <c:ptCount val="2"/>
                <c:pt idx="0">
                  <c:v>268</c:v>
                </c:pt>
                <c:pt idx="1">
                  <c:v>201</c:v>
                </c:pt>
              </c:numCache>
            </c:numRef>
          </c:val>
          <c:extLst>
            <c:ext xmlns:c16="http://schemas.microsoft.com/office/drawing/2014/chart" uri="{C3380CC4-5D6E-409C-BE32-E72D297353CC}">
              <c16:uniqueId val="{00000005-EE21-4614-92F3-BD5575364FE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
          <c:y val="0"/>
          <c:w val="0.98892257217847768"/>
          <c:h val="0.1450106296167142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Report!PivotTable10</c:name>
    <c:fmtId val="28"/>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2069346785203797"/>
          <c:y val="0.12586609914956162"/>
          <c:w val="0.77741117727368869"/>
          <c:h val="0.7385410030347247"/>
        </c:manualLayout>
      </c:layout>
      <c:doughnutChart>
        <c:varyColors val="1"/>
        <c:ser>
          <c:idx val="0"/>
          <c:order val="0"/>
          <c:tx>
            <c:strRef>
              <c:f>'Pivot Report'!$B$86</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Report'!$A$87:$A$89</c:f>
              <c:strCache>
                <c:ptCount val="2"/>
                <c:pt idx="0">
                  <c:v>Female</c:v>
                </c:pt>
                <c:pt idx="1">
                  <c:v>Male</c:v>
                </c:pt>
              </c:strCache>
            </c:strRef>
          </c:cat>
          <c:val>
            <c:numRef>
              <c:f>'Pivot Report'!$B$87:$B$89</c:f>
              <c:numCache>
                <c:formatCode>0</c:formatCode>
                <c:ptCount val="2"/>
                <c:pt idx="0">
                  <c:v>241</c:v>
                </c:pt>
                <c:pt idx="1">
                  <c:v>228</c:v>
                </c:pt>
              </c:numCache>
            </c:numRef>
          </c:val>
          <c:extLst>
            <c:ext xmlns:c16="http://schemas.microsoft.com/office/drawing/2014/chart" uri="{C3380CC4-5D6E-409C-BE32-E72D297353CC}">
              <c16:uniqueId val="{00000005-0BD4-4B29-9BEF-4E900842E932}"/>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9.351714010222968E-4"/>
          <c:y val="2.8355934674832307E-2"/>
          <c:w val="0.97857013180349295"/>
          <c:h val="0.10791806624026769"/>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Report!PivotTable11</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85690090441929"/>
          <c:y val="2.5663720390735195E-2"/>
          <c:w val="0.67677660903542558"/>
          <c:h val="0.80324481033769679"/>
        </c:manualLayout>
      </c:layout>
      <c:barChart>
        <c:barDir val="bar"/>
        <c:grouping val="clustered"/>
        <c:varyColors val="0"/>
        <c:ser>
          <c:idx val="0"/>
          <c:order val="0"/>
          <c:tx>
            <c:strRef>
              <c:f>'Pivot Report'!$B$94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Report'!$A$95:$A$103</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Report'!$B$95:$B$103</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1-3275-4C45-8686-122653C323C1}"/>
            </c:ext>
          </c:extLst>
        </c:ser>
        <c:dLbls>
          <c:showLegendKey val="0"/>
          <c:showVal val="0"/>
          <c:showCatName val="0"/>
          <c:showSerName val="0"/>
          <c:showPercent val="0"/>
          <c:showBubbleSize val="0"/>
        </c:dLbls>
        <c:gapWidth val="30"/>
        <c:axId val="321383423"/>
        <c:axId val="321381503"/>
      </c:barChart>
      <c:catAx>
        <c:axId val="321383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21381503"/>
        <c:crosses val="autoZero"/>
        <c:auto val="1"/>
        <c:lblAlgn val="ctr"/>
        <c:lblOffset val="100"/>
        <c:noMultiLvlLbl val="0"/>
      </c:catAx>
      <c:valAx>
        <c:axId val="321381503"/>
        <c:scaling>
          <c:orientation val="minMax"/>
        </c:scaling>
        <c:delete val="1"/>
        <c:axPos val="b"/>
        <c:numFmt formatCode="0" sourceLinked="1"/>
        <c:majorTickMark val="none"/>
        <c:minorTickMark val="none"/>
        <c:tickLblPos val="nextTo"/>
        <c:crossAx val="32138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Report!PivotTable4</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749775521480869E-2"/>
          <c:y val="8.8102793121009132E-2"/>
          <c:w val="0.9487573387208178"/>
          <c:h val="0.78439515605103816"/>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Report'!$E$5:$E$35</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1-496F-4092-92CA-005108A1AE4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18466831"/>
        <c:axId val="318466351"/>
      </c:areaChart>
      <c:catAx>
        <c:axId val="31846683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18466351"/>
        <c:crosses val="autoZero"/>
        <c:auto val="1"/>
        <c:lblAlgn val="ctr"/>
        <c:lblOffset val="100"/>
        <c:noMultiLvlLbl val="0"/>
      </c:catAx>
      <c:valAx>
        <c:axId val="318466351"/>
        <c:scaling>
          <c:orientation val="minMax"/>
        </c:scaling>
        <c:delete val="1"/>
        <c:axPos val="l"/>
        <c:numFmt formatCode="General" sourceLinked="1"/>
        <c:majorTickMark val="out"/>
        <c:minorTickMark val="none"/>
        <c:tickLblPos val="nextTo"/>
        <c:crossAx val="3184668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84321292952703E-2"/>
          <c:y val="5.2648031496062987E-2"/>
          <c:w val="0.88396041119860014"/>
          <c:h val="0.78605606590842814"/>
        </c:manualLayout>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Report'!$H$5:$H$35</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1-B799-4B54-8586-A7A7ED05FDA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8171695"/>
        <c:axId val="48172175"/>
      </c:areaChart>
      <c:catAx>
        <c:axId val="4817169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800" b="0" i="0" u="none" strike="noStrike" kern="1200" baseline="0">
                <a:solidFill>
                  <a:schemeClr val="lt1"/>
                </a:solidFill>
                <a:latin typeface="+mn-lt"/>
                <a:ea typeface="+mn-ea"/>
                <a:cs typeface="+mn-cs"/>
              </a:defRPr>
            </a:pPr>
            <a:endParaRPr lang="en-US"/>
          </a:p>
        </c:txPr>
        <c:crossAx val="48172175"/>
        <c:crosses val="autoZero"/>
        <c:auto val="1"/>
        <c:lblAlgn val="ctr"/>
        <c:lblOffset val="100"/>
        <c:noMultiLvlLbl val="0"/>
      </c:catAx>
      <c:valAx>
        <c:axId val="48172175"/>
        <c:scaling>
          <c:orientation val="minMax"/>
        </c:scaling>
        <c:delete val="1"/>
        <c:axPos val="l"/>
        <c:numFmt formatCode="0.00" sourceLinked="1"/>
        <c:majorTickMark val="out"/>
        <c:minorTickMark val="none"/>
        <c:tickLblPos val="nextTo"/>
        <c:crossAx val="481716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Report!PivotTable6</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11689299707102E-2"/>
          <c:y val="0.10501770127571262"/>
          <c:w val="0.88192607347006524"/>
          <c:h val="0.62726759445766955"/>
        </c:manualLayout>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Report'!$J$5:$J$32</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Report'!$K$5:$K$32</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1-2951-408A-885D-4050B51680A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1249712"/>
        <c:axId val="51246832"/>
      </c:areaChart>
      <c:catAx>
        <c:axId val="5124971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800" b="0" i="0" u="none" strike="noStrike" kern="1200" baseline="0">
                <a:solidFill>
                  <a:schemeClr val="lt1"/>
                </a:solidFill>
                <a:latin typeface="+mn-lt"/>
                <a:ea typeface="+mn-ea"/>
                <a:cs typeface="+mn-cs"/>
              </a:defRPr>
            </a:pPr>
            <a:endParaRPr lang="en-US"/>
          </a:p>
        </c:txPr>
        <c:crossAx val="51246832"/>
        <c:crosses val="autoZero"/>
        <c:auto val="1"/>
        <c:lblAlgn val="ctr"/>
        <c:lblOffset val="100"/>
        <c:noMultiLvlLbl val="0"/>
      </c:catAx>
      <c:valAx>
        <c:axId val="51246832"/>
        <c:scaling>
          <c:orientation val="minMax"/>
        </c:scaling>
        <c:delete val="1"/>
        <c:axPos val="l"/>
        <c:numFmt formatCode="0.00" sourceLinked="1"/>
        <c:majorTickMark val="out"/>
        <c:minorTickMark val="none"/>
        <c:tickLblPos val="nextTo"/>
        <c:crossAx val="512497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erage 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time per day'!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0.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0</xdr:colOff>
      <xdr:row>51</xdr:row>
      <xdr:rowOff>167640</xdr:rowOff>
    </xdr:from>
    <xdr:to>
      <xdr:col>4</xdr:col>
      <xdr:colOff>0</xdr:colOff>
      <xdr:row>53</xdr:row>
      <xdr:rowOff>160020</xdr:rowOff>
    </xdr:to>
    <xdr:graphicFrame macro="">
      <xdr:nvGraphicFramePr>
        <xdr:cNvPr id="7" name="Chart 6">
          <a:extLst>
            <a:ext uri="{FF2B5EF4-FFF2-40B4-BE49-F238E27FC236}">
              <a16:creationId xmlns:a16="http://schemas.microsoft.com/office/drawing/2014/main" id="{5D78D660-4B9E-28C3-44CD-D88CA21C2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109483</xdr:colOff>
      <xdr:row>0</xdr:row>
      <xdr:rowOff>96345</xdr:rowOff>
    </xdr:from>
    <xdr:to>
      <xdr:col>5</xdr:col>
      <xdr:colOff>183931</xdr:colOff>
      <xdr:row>3</xdr:row>
      <xdr:rowOff>61310</xdr:rowOff>
    </xdr:to>
    <xdr:sp macro="" textlink="">
      <xdr:nvSpPr>
        <xdr:cNvPr id="2" name="Rectangle: Rounded Corners 1">
          <a:extLst>
            <a:ext uri="{FF2B5EF4-FFF2-40B4-BE49-F238E27FC236}">
              <a16:creationId xmlns:a16="http://schemas.microsoft.com/office/drawing/2014/main" id="{656AE4A0-688B-9E7A-6BD1-A8790CB4566A}"/>
            </a:ext>
          </a:extLst>
        </xdr:cNvPr>
        <xdr:cNvSpPr/>
      </xdr:nvSpPr>
      <xdr:spPr>
        <a:xfrm>
          <a:off x="109483" y="96345"/>
          <a:ext cx="3118069" cy="516758"/>
        </a:xfrm>
        <a:prstGeom prst="roundRect">
          <a:avLst>
            <a:gd name="adj" fmla="val 2005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218965</xdr:colOff>
      <xdr:row>0</xdr:row>
      <xdr:rowOff>96344</xdr:rowOff>
    </xdr:from>
    <xdr:to>
      <xdr:col>6</xdr:col>
      <xdr:colOff>591207</xdr:colOff>
      <xdr:row>3</xdr:row>
      <xdr:rowOff>83207</xdr:rowOff>
    </xdr:to>
    <xdr:sp macro="" textlink="">
      <xdr:nvSpPr>
        <xdr:cNvPr id="3" name="Rectangle: Rounded Corners 2">
          <a:extLst>
            <a:ext uri="{FF2B5EF4-FFF2-40B4-BE49-F238E27FC236}">
              <a16:creationId xmlns:a16="http://schemas.microsoft.com/office/drawing/2014/main" id="{78BC3BAE-4EE7-54D0-B6B6-C62C9F84BE80}"/>
            </a:ext>
          </a:extLst>
        </xdr:cNvPr>
        <xdr:cNvSpPr/>
      </xdr:nvSpPr>
      <xdr:spPr>
        <a:xfrm>
          <a:off x="3262586" y="96344"/>
          <a:ext cx="980966" cy="538656"/>
        </a:xfrm>
        <a:prstGeom prst="roundRect">
          <a:avLst>
            <a:gd name="adj" fmla="val 1412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61310</xdr:colOff>
      <xdr:row>0</xdr:row>
      <xdr:rowOff>83206</xdr:rowOff>
    </xdr:from>
    <xdr:to>
      <xdr:col>9</xdr:col>
      <xdr:colOff>131379</xdr:colOff>
      <xdr:row>7</xdr:row>
      <xdr:rowOff>118241</xdr:rowOff>
    </xdr:to>
    <xdr:sp macro="" textlink="">
      <xdr:nvSpPr>
        <xdr:cNvPr id="4" name="Rectangle: Rounded Corners 3">
          <a:extLst>
            <a:ext uri="{FF2B5EF4-FFF2-40B4-BE49-F238E27FC236}">
              <a16:creationId xmlns:a16="http://schemas.microsoft.com/office/drawing/2014/main" id="{4AD6F749-66DD-975A-5D86-611AD9625C4C}"/>
            </a:ext>
          </a:extLst>
        </xdr:cNvPr>
        <xdr:cNvSpPr/>
      </xdr:nvSpPr>
      <xdr:spPr>
        <a:xfrm>
          <a:off x="4322379" y="83206"/>
          <a:ext cx="1287517" cy="1322552"/>
        </a:xfrm>
        <a:prstGeom prst="roundRect">
          <a:avLst>
            <a:gd name="adj" fmla="val 872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223347</xdr:colOff>
      <xdr:row>0</xdr:row>
      <xdr:rowOff>65691</xdr:rowOff>
    </xdr:from>
    <xdr:to>
      <xdr:col>11</xdr:col>
      <xdr:colOff>249620</xdr:colOff>
      <xdr:row>7</xdr:row>
      <xdr:rowOff>105103</xdr:rowOff>
    </xdr:to>
    <xdr:sp macro="" textlink="">
      <xdr:nvSpPr>
        <xdr:cNvPr id="5" name="Rectangle: Rounded Corners 4">
          <a:extLst>
            <a:ext uri="{FF2B5EF4-FFF2-40B4-BE49-F238E27FC236}">
              <a16:creationId xmlns:a16="http://schemas.microsoft.com/office/drawing/2014/main" id="{A8E23C69-DBF7-9F79-234B-36FE0C45F485}"/>
            </a:ext>
          </a:extLst>
        </xdr:cNvPr>
        <xdr:cNvSpPr/>
      </xdr:nvSpPr>
      <xdr:spPr>
        <a:xfrm>
          <a:off x="5701864" y="65691"/>
          <a:ext cx="1243722" cy="1326929"/>
        </a:xfrm>
        <a:prstGeom prst="roundRect">
          <a:avLst>
            <a:gd name="adj" fmla="val 779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109484</xdr:colOff>
      <xdr:row>3</xdr:row>
      <xdr:rowOff>131379</xdr:rowOff>
    </xdr:from>
    <xdr:to>
      <xdr:col>1</xdr:col>
      <xdr:colOff>429174</xdr:colOff>
      <xdr:row>16</xdr:row>
      <xdr:rowOff>83206</xdr:rowOff>
    </xdr:to>
    <xdr:sp macro="" textlink="">
      <xdr:nvSpPr>
        <xdr:cNvPr id="6" name="Rectangle: Rounded Corners 5">
          <a:extLst>
            <a:ext uri="{FF2B5EF4-FFF2-40B4-BE49-F238E27FC236}">
              <a16:creationId xmlns:a16="http://schemas.microsoft.com/office/drawing/2014/main" id="{9E437EA0-9200-4776-2DA7-8721523C2F48}"/>
            </a:ext>
          </a:extLst>
        </xdr:cNvPr>
        <xdr:cNvSpPr/>
      </xdr:nvSpPr>
      <xdr:spPr>
        <a:xfrm>
          <a:off x="109484" y="683172"/>
          <a:ext cx="928414" cy="2342931"/>
        </a:xfrm>
        <a:prstGeom prst="roundRect">
          <a:avLst>
            <a:gd name="adj" fmla="val 732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521139</xdr:colOff>
      <xdr:row>3</xdr:row>
      <xdr:rowOff>135759</xdr:rowOff>
    </xdr:from>
    <xdr:to>
      <xdr:col>3</xdr:col>
      <xdr:colOff>289034</xdr:colOff>
      <xdr:row>7</xdr:row>
      <xdr:rowOff>122622</xdr:rowOff>
    </xdr:to>
    <xdr:sp macro="" textlink="">
      <xdr:nvSpPr>
        <xdr:cNvPr id="7" name="Rectangle: Rounded Corners 6">
          <a:extLst>
            <a:ext uri="{FF2B5EF4-FFF2-40B4-BE49-F238E27FC236}">
              <a16:creationId xmlns:a16="http://schemas.microsoft.com/office/drawing/2014/main" id="{F6E4CC2C-4A48-CC20-4C5D-4B6EE9238F5E}"/>
            </a:ext>
          </a:extLst>
        </xdr:cNvPr>
        <xdr:cNvSpPr/>
      </xdr:nvSpPr>
      <xdr:spPr>
        <a:xfrm>
          <a:off x="1129863" y="687552"/>
          <a:ext cx="985343" cy="722587"/>
        </a:xfrm>
        <a:prstGeom prst="roundRect">
          <a:avLst>
            <a:gd name="adj" fmla="val 732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354726</xdr:colOff>
      <xdr:row>3</xdr:row>
      <xdr:rowOff>131379</xdr:rowOff>
    </xdr:from>
    <xdr:to>
      <xdr:col>5</xdr:col>
      <xdr:colOff>122620</xdr:colOff>
      <xdr:row>7</xdr:row>
      <xdr:rowOff>118242</xdr:rowOff>
    </xdr:to>
    <xdr:sp macro="" textlink="">
      <xdr:nvSpPr>
        <xdr:cNvPr id="8" name="Rectangle: Rounded Corners 7">
          <a:extLst>
            <a:ext uri="{FF2B5EF4-FFF2-40B4-BE49-F238E27FC236}">
              <a16:creationId xmlns:a16="http://schemas.microsoft.com/office/drawing/2014/main" id="{45A89D6F-3A45-E9C6-0549-2CECAF2E6A53}"/>
            </a:ext>
          </a:extLst>
        </xdr:cNvPr>
        <xdr:cNvSpPr/>
      </xdr:nvSpPr>
      <xdr:spPr>
        <a:xfrm>
          <a:off x="2180898" y="683172"/>
          <a:ext cx="985343" cy="722587"/>
        </a:xfrm>
        <a:prstGeom prst="roundRect">
          <a:avLst>
            <a:gd name="adj" fmla="val 732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214588</xdr:colOff>
      <xdr:row>3</xdr:row>
      <xdr:rowOff>131379</xdr:rowOff>
    </xdr:from>
    <xdr:to>
      <xdr:col>6</xdr:col>
      <xdr:colOff>564931</xdr:colOff>
      <xdr:row>7</xdr:row>
      <xdr:rowOff>118242</xdr:rowOff>
    </xdr:to>
    <xdr:sp macro="" textlink="">
      <xdr:nvSpPr>
        <xdr:cNvPr id="9" name="Rectangle: Rounded Corners 8">
          <a:extLst>
            <a:ext uri="{FF2B5EF4-FFF2-40B4-BE49-F238E27FC236}">
              <a16:creationId xmlns:a16="http://schemas.microsoft.com/office/drawing/2014/main" id="{DF3FD5B5-C5DE-CE32-8BE1-6C2772C8556B}"/>
            </a:ext>
          </a:extLst>
        </xdr:cNvPr>
        <xdr:cNvSpPr/>
      </xdr:nvSpPr>
      <xdr:spPr>
        <a:xfrm>
          <a:off x="3258209" y="683172"/>
          <a:ext cx="959067" cy="722587"/>
        </a:xfrm>
        <a:prstGeom prst="roundRect">
          <a:avLst>
            <a:gd name="adj" fmla="val 732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525517</xdr:colOff>
      <xdr:row>11</xdr:row>
      <xdr:rowOff>39414</xdr:rowOff>
    </xdr:from>
    <xdr:to>
      <xdr:col>6</xdr:col>
      <xdr:colOff>582448</xdr:colOff>
      <xdr:row>16</xdr:row>
      <xdr:rowOff>83207</xdr:rowOff>
    </xdr:to>
    <xdr:sp macro="" textlink="">
      <xdr:nvSpPr>
        <xdr:cNvPr id="11" name="Rectangle: Rounded Corners 10">
          <a:extLst>
            <a:ext uri="{FF2B5EF4-FFF2-40B4-BE49-F238E27FC236}">
              <a16:creationId xmlns:a16="http://schemas.microsoft.com/office/drawing/2014/main" id="{7B0ED63D-110C-9B2C-1B8E-ED219C3EB9A1}"/>
            </a:ext>
          </a:extLst>
        </xdr:cNvPr>
        <xdr:cNvSpPr/>
      </xdr:nvSpPr>
      <xdr:spPr>
        <a:xfrm>
          <a:off x="1134241" y="2062655"/>
          <a:ext cx="3100552" cy="963449"/>
        </a:xfrm>
        <a:prstGeom prst="roundRect">
          <a:avLst>
            <a:gd name="adj" fmla="val 732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96345</xdr:colOff>
      <xdr:row>8</xdr:row>
      <xdr:rowOff>8758</xdr:rowOff>
    </xdr:from>
    <xdr:to>
      <xdr:col>11</xdr:col>
      <xdr:colOff>254001</xdr:colOff>
      <xdr:row>16</xdr:row>
      <xdr:rowOff>56930</xdr:rowOff>
    </xdr:to>
    <xdr:sp macro="" textlink="">
      <xdr:nvSpPr>
        <xdr:cNvPr id="20" name="Rectangle: Rounded Corners 19">
          <a:extLst>
            <a:ext uri="{FF2B5EF4-FFF2-40B4-BE49-F238E27FC236}">
              <a16:creationId xmlns:a16="http://schemas.microsoft.com/office/drawing/2014/main" id="{C9C9BBB7-EEE9-B46A-548C-DDCE1D8477AB}"/>
            </a:ext>
          </a:extLst>
        </xdr:cNvPr>
        <xdr:cNvSpPr/>
      </xdr:nvSpPr>
      <xdr:spPr>
        <a:xfrm>
          <a:off x="4357414" y="1480206"/>
          <a:ext cx="2592553" cy="1519621"/>
        </a:xfrm>
        <a:prstGeom prst="roundRect">
          <a:avLst>
            <a:gd name="adj" fmla="val 779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56931</xdr:colOff>
      <xdr:row>0</xdr:row>
      <xdr:rowOff>162034</xdr:rowOff>
    </xdr:from>
    <xdr:to>
      <xdr:col>5</xdr:col>
      <xdr:colOff>144518</xdr:colOff>
      <xdr:row>1</xdr:row>
      <xdr:rowOff>157655</xdr:rowOff>
    </xdr:to>
    <xdr:sp macro="" textlink="">
      <xdr:nvSpPr>
        <xdr:cNvPr id="21" name="TextBox 20">
          <a:extLst>
            <a:ext uri="{FF2B5EF4-FFF2-40B4-BE49-F238E27FC236}">
              <a16:creationId xmlns:a16="http://schemas.microsoft.com/office/drawing/2014/main" id="{B4752285-EAA9-AF5F-525C-466E7027851E}"/>
            </a:ext>
          </a:extLst>
        </xdr:cNvPr>
        <xdr:cNvSpPr txBox="1"/>
      </xdr:nvSpPr>
      <xdr:spPr>
        <a:xfrm>
          <a:off x="665655" y="162034"/>
          <a:ext cx="2522484" cy="179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HOSPITAL EMERGENCY ROOM DASHBOARD</a:t>
          </a:r>
        </a:p>
      </xdr:txBody>
    </xdr:sp>
    <xdr:clientData/>
  </xdr:twoCellAnchor>
  <xdr:twoCellAnchor editAs="oneCell">
    <xdr:from>
      <xdr:col>0</xdr:col>
      <xdr:colOff>157655</xdr:colOff>
      <xdr:row>0</xdr:row>
      <xdr:rowOff>113861</xdr:rowOff>
    </xdr:from>
    <xdr:to>
      <xdr:col>1</xdr:col>
      <xdr:colOff>35035</xdr:colOff>
      <xdr:row>3</xdr:row>
      <xdr:rowOff>30655</xdr:rowOff>
    </xdr:to>
    <xdr:pic>
      <xdr:nvPicPr>
        <xdr:cNvPr id="23" name="Picture 22">
          <a:extLst>
            <a:ext uri="{FF2B5EF4-FFF2-40B4-BE49-F238E27FC236}">
              <a16:creationId xmlns:a16="http://schemas.microsoft.com/office/drawing/2014/main" id="{A20AC15D-4907-4072-8EE1-D74BA40A4F8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246" t="8371" r="19838" b="10200"/>
        <a:stretch>
          <a:fillRect/>
        </a:stretch>
      </xdr:blipFill>
      <xdr:spPr>
        <a:xfrm>
          <a:off x="157655" y="113861"/>
          <a:ext cx="486104" cy="468587"/>
        </a:xfrm>
        <a:prstGeom prst="rect">
          <a:avLst/>
        </a:prstGeom>
      </xdr:spPr>
    </xdr:pic>
    <xdr:clientData/>
  </xdr:twoCellAnchor>
  <xdr:twoCellAnchor editAs="absolute">
    <xdr:from>
      <xdr:col>1</xdr:col>
      <xdr:colOff>521138</xdr:colOff>
      <xdr:row>4</xdr:row>
      <xdr:rowOff>13138</xdr:rowOff>
    </xdr:from>
    <xdr:to>
      <xdr:col>3</xdr:col>
      <xdr:colOff>280275</xdr:colOff>
      <xdr:row>5</xdr:row>
      <xdr:rowOff>8759</xdr:rowOff>
    </xdr:to>
    <xdr:sp macro="" textlink="'Pivot Report'!A5">
      <xdr:nvSpPr>
        <xdr:cNvPr id="104" name="TextBox 103">
          <a:extLst>
            <a:ext uri="{FF2B5EF4-FFF2-40B4-BE49-F238E27FC236}">
              <a16:creationId xmlns:a16="http://schemas.microsoft.com/office/drawing/2014/main" id="{CF8CA902-B86F-9D31-76B7-26D8F04EB253}"/>
            </a:ext>
          </a:extLst>
        </xdr:cNvPr>
        <xdr:cNvSpPr txBox="1"/>
      </xdr:nvSpPr>
      <xdr:spPr>
        <a:xfrm>
          <a:off x="1129862" y="748862"/>
          <a:ext cx="976585" cy="179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fld id="{66900570-DF83-403E-AF9A-4E0E5D902E84}" type="TxLink">
            <a:rPr lang="en-US" sz="1100" b="0" i="0" u="none" strike="noStrike">
              <a:solidFill>
                <a:srgbClr val="000000"/>
              </a:solidFill>
              <a:latin typeface="Calibri"/>
              <a:ea typeface="Calibri"/>
              <a:cs typeface="Calibri"/>
            </a:rPr>
            <a:t>469</a:t>
          </a:fld>
          <a:endParaRPr lang="en-IN" sz="900"/>
        </a:p>
      </xdr:txBody>
    </xdr:sp>
    <xdr:clientData/>
  </xdr:twoCellAnchor>
  <xdr:twoCellAnchor editAs="absolute">
    <xdr:from>
      <xdr:col>1</xdr:col>
      <xdr:colOff>521139</xdr:colOff>
      <xdr:row>4</xdr:row>
      <xdr:rowOff>179551</xdr:rowOff>
    </xdr:from>
    <xdr:to>
      <xdr:col>3</xdr:col>
      <xdr:colOff>284656</xdr:colOff>
      <xdr:row>5</xdr:row>
      <xdr:rowOff>140137</xdr:rowOff>
    </xdr:to>
    <xdr:sp macro="" textlink="">
      <xdr:nvSpPr>
        <xdr:cNvPr id="111" name="TextBox 110">
          <a:extLst>
            <a:ext uri="{FF2B5EF4-FFF2-40B4-BE49-F238E27FC236}">
              <a16:creationId xmlns:a16="http://schemas.microsoft.com/office/drawing/2014/main" id="{A4C98C78-AC9E-41FF-C89E-B6E96A27C1DC}"/>
            </a:ext>
          </a:extLst>
        </xdr:cNvPr>
        <xdr:cNvSpPr txBox="1"/>
      </xdr:nvSpPr>
      <xdr:spPr>
        <a:xfrm>
          <a:off x="1129863" y="915275"/>
          <a:ext cx="980965" cy="144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r>
            <a:rPr lang="en-IN" sz="700"/>
            <a:t>No.of</a:t>
          </a:r>
          <a:r>
            <a:rPr lang="en-IN" sz="700" baseline="0"/>
            <a:t> Patient</a:t>
          </a:r>
          <a:endParaRPr lang="en-IN" sz="700"/>
        </a:p>
      </xdr:txBody>
    </xdr:sp>
    <xdr:clientData/>
  </xdr:twoCellAnchor>
  <xdr:twoCellAnchor editAs="absolute">
    <xdr:from>
      <xdr:col>3</xdr:col>
      <xdr:colOff>359103</xdr:colOff>
      <xdr:row>4</xdr:row>
      <xdr:rowOff>17517</xdr:rowOff>
    </xdr:from>
    <xdr:to>
      <xdr:col>5</xdr:col>
      <xdr:colOff>126999</xdr:colOff>
      <xdr:row>5</xdr:row>
      <xdr:rowOff>0</xdr:rowOff>
    </xdr:to>
    <xdr:sp macro="" textlink="'Pivot Report'!A9">
      <xdr:nvSpPr>
        <xdr:cNvPr id="118" name="TextBox 117">
          <a:extLst>
            <a:ext uri="{FF2B5EF4-FFF2-40B4-BE49-F238E27FC236}">
              <a16:creationId xmlns:a16="http://schemas.microsoft.com/office/drawing/2014/main" id="{FD3FC055-72B8-1106-9874-3F020253BA97}"/>
            </a:ext>
          </a:extLst>
        </xdr:cNvPr>
        <xdr:cNvSpPr txBox="1"/>
      </xdr:nvSpPr>
      <xdr:spPr>
        <a:xfrm>
          <a:off x="2185275" y="753241"/>
          <a:ext cx="985345" cy="166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fld id="{36AB0433-93C8-4EAE-AA31-FBE7F7B8F5F1}" type="TxLink">
            <a:rPr lang="en-US" sz="1100" b="0" i="0" u="none" strike="noStrike">
              <a:solidFill>
                <a:srgbClr val="000000"/>
              </a:solidFill>
              <a:latin typeface="Calibri"/>
              <a:ea typeface="Calibri"/>
              <a:cs typeface="Calibri"/>
            </a:rPr>
            <a:t>35.04</a:t>
          </a:fld>
          <a:endParaRPr lang="en-IN" sz="900"/>
        </a:p>
      </xdr:txBody>
    </xdr:sp>
    <xdr:clientData/>
  </xdr:twoCellAnchor>
  <xdr:twoCellAnchor editAs="absolute">
    <xdr:from>
      <xdr:col>3</xdr:col>
      <xdr:colOff>354725</xdr:colOff>
      <xdr:row>4</xdr:row>
      <xdr:rowOff>179551</xdr:rowOff>
    </xdr:from>
    <xdr:to>
      <xdr:col>5</xdr:col>
      <xdr:colOff>122620</xdr:colOff>
      <xdr:row>5</xdr:row>
      <xdr:rowOff>131379</xdr:rowOff>
    </xdr:to>
    <xdr:sp macro="" textlink="">
      <xdr:nvSpPr>
        <xdr:cNvPr id="119" name="TextBox 118">
          <a:extLst>
            <a:ext uri="{FF2B5EF4-FFF2-40B4-BE49-F238E27FC236}">
              <a16:creationId xmlns:a16="http://schemas.microsoft.com/office/drawing/2014/main" id="{93DECF11-DF58-F639-15EA-6FD70C926504}"/>
            </a:ext>
          </a:extLst>
        </xdr:cNvPr>
        <xdr:cNvSpPr txBox="1"/>
      </xdr:nvSpPr>
      <xdr:spPr>
        <a:xfrm>
          <a:off x="2180897" y="915275"/>
          <a:ext cx="985344" cy="135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r>
            <a:rPr lang="en-IN" sz="700"/>
            <a:t>Average</a:t>
          </a:r>
          <a:r>
            <a:rPr lang="en-IN" sz="700" baseline="0"/>
            <a:t> Wait Time</a:t>
          </a:r>
          <a:endParaRPr lang="en-IN" sz="700"/>
        </a:p>
      </xdr:txBody>
    </xdr:sp>
    <xdr:clientData/>
  </xdr:twoCellAnchor>
  <xdr:twoCellAnchor editAs="absolute">
    <xdr:from>
      <xdr:col>5</xdr:col>
      <xdr:colOff>183929</xdr:colOff>
      <xdr:row>4</xdr:row>
      <xdr:rowOff>26276</xdr:rowOff>
    </xdr:from>
    <xdr:to>
      <xdr:col>6</xdr:col>
      <xdr:colOff>560550</xdr:colOff>
      <xdr:row>5</xdr:row>
      <xdr:rowOff>0</xdr:rowOff>
    </xdr:to>
    <xdr:sp macro="" textlink="'Pivot Report'!A12">
      <xdr:nvSpPr>
        <xdr:cNvPr id="120" name="TextBox 119">
          <a:extLst>
            <a:ext uri="{FF2B5EF4-FFF2-40B4-BE49-F238E27FC236}">
              <a16:creationId xmlns:a16="http://schemas.microsoft.com/office/drawing/2014/main" id="{AB9896C2-81BA-A0D8-5536-5FF979001236}"/>
            </a:ext>
          </a:extLst>
        </xdr:cNvPr>
        <xdr:cNvSpPr txBox="1"/>
      </xdr:nvSpPr>
      <xdr:spPr>
        <a:xfrm>
          <a:off x="3227550" y="762000"/>
          <a:ext cx="985345" cy="157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fld id="{17F85C86-0D84-49A6-ACFB-BB7E9B389F0D}" type="TxLink">
            <a:rPr lang="en-US" sz="1100" b="0" i="0" u="none" strike="noStrike">
              <a:solidFill>
                <a:srgbClr val="000000"/>
              </a:solidFill>
              <a:latin typeface="Calibri"/>
              <a:ea typeface="Calibri"/>
              <a:cs typeface="Calibri"/>
            </a:rPr>
            <a:t>4.63</a:t>
          </a:fld>
          <a:endParaRPr lang="en-IN" sz="900"/>
        </a:p>
      </xdr:txBody>
    </xdr:sp>
    <xdr:clientData/>
  </xdr:twoCellAnchor>
  <xdr:twoCellAnchor editAs="absolute">
    <xdr:from>
      <xdr:col>5</xdr:col>
      <xdr:colOff>218965</xdr:colOff>
      <xdr:row>4</xdr:row>
      <xdr:rowOff>162034</xdr:rowOff>
    </xdr:from>
    <xdr:to>
      <xdr:col>6</xdr:col>
      <xdr:colOff>564930</xdr:colOff>
      <xdr:row>5</xdr:row>
      <xdr:rowOff>118241</xdr:rowOff>
    </xdr:to>
    <xdr:sp macro="" textlink="">
      <xdr:nvSpPr>
        <xdr:cNvPr id="121" name="TextBox 120">
          <a:extLst>
            <a:ext uri="{FF2B5EF4-FFF2-40B4-BE49-F238E27FC236}">
              <a16:creationId xmlns:a16="http://schemas.microsoft.com/office/drawing/2014/main" id="{7014252A-D632-5D05-D04E-78D1459B7916}"/>
            </a:ext>
          </a:extLst>
        </xdr:cNvPr>
        <xdr:cNvSpPr txBox="1"/>
      </xdr:nvSpPr>
      <xdr:spPr>
        <a:xfrm>
          <a:off x="3262586" y="897758"/>
          <a:ext cx="954689" cy="140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r>
            <a:rPr lang="en-IN" sz="700"/>
            <a:t>Patient Satisfaction</a:t>
          </a:r>
          <a:r>
            <a:rPr lang="en-IN" sz="700" baseline="0"/>
            <a:t> Score</a:t>
          </a:r>
          <a:endParaRPr lang="en-IN" sz="700"/>
        </a:p>
      </xdr:txBody>
    </xdr:sp>
    <xdr:clientData/>
  </xdr:twoCellAnchor>
  <xdr:twoCellAnchor editAs="oneCell">
    <xdr:from>
      <xdr:col>6</xdr:col>
      <xdr:colOff>271517</xdr:colOff>
      <xdr:row>3</xdr:row>
      <xdr:rowOff>156779</xdr:rowOff>
    </xdr:from>
    <xdr:to>
      <xdr:col>6</xdr:col>
      <xdr:colOff>556173</xdr:colOff>
      <xdr:row>4</xdr:row>
      <xdr:rowOff>179552</xdr:rowOff>
    </xdr:to>
    <xdr:pic>
      <xdr:nvPicPr>
        <xdr:cNvPr id="123" name="Graphic 122" descr="Customer review with solid fill">
          <a:extLst>
            <a:ext uri="{FF2B5EF4-FFF2-40B4-BE49-F238E27FC236}">
              <a16:creationId xmlns:a16="http://schemas.microsoft.com/office/drawing/2014/main" id="{DA00C9A5-CF0E-FD6D-8944-8679E7D7287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923862" y="708572"/>
          <a:ext cx="284656" cy="206704"/>
        </a:xfrm>
        <a:prstGeom prst="rect">
          <a:avLst/>
        </a:prstGeom>
      </xdr:spPr>
    </xdr:pic>
    <xdr:clientData/>
  </xdr:twoCellAnchor>
  <xdr:twoCellAnchor editAs="oneCell">
    <xdr:from>
      <xdr:col>4</xdr:col>
      <xdr:colOff>495966</xdr:colOff>
      <xdr:row>3</xdr:row>
      <xdr:rowOff>179551</xdr:rowOff>
    </xdr:from>
    <xdr:to>
      <xdr:col>5</xdr:col>
      <xdr:colOff>115192</xdr:colOff>
      <xdr:row>5</xdr:row>
      <xdr:rowOff>4379</xdr:rowOff>
    </xdr:to>
    <xdr:pic>
      <xdr:nvPicPr>
        <xdr:cNvPr id="125" name="Graphic 124" descr="Hourglass Finished with solid fill">
          <a:extLst>
            <a:ext uri="{FF2B5EF4-FFF2-40B4-BE49-F238E27FC236}">
              <a16:creationId xmlns:a16="http://schemas.microsoft.com/office/drawing/2014/main" id="{9EAE55C0-D4A3-DCD7-DE2C-0553069ACA8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30863" y="731344"/>
          <a:ext cx="227950" cy="192690"/>
        </a:xfrm>
        <a:prstGeom prst="rect">
          <a:avLst/>
        </a:prstGeom>
      </xdr:spPr>
    </xdr:pic>
    <xdr:clientData/>
  </xdr:twoCellAnchor>
  <xdr:twoCellAnchor editAs="oneCell">
    <xdr:from>
      <xdr:col>2</xdr:col>
      <xdr:colOff>593414</xdr:colOff>
      <xdr:row>3</xdr:row>
      <xdr:rowOff>134917</xdr:rowOff>
    </xdr:from>
    <xdr:to>
      <xdr:col>3</xdr:col>
      <xdr:colOff>284656</xdr:colOff>
      <xdr:row>5</xdr:row>
      <xdr:rowOff>39414</xdr:rowOff>
    </xdr:to>
    <xdr:pic>
      <xdr:nvPicPr>
        <xdr:cNvPr id="127" name="Graphic 126" descr="User with solid fill">
          <a:extLst>
            <a:ext uri="{FF2B5EF4-FFF2-40B4-BE49-F238E27FC236}">
              <a16:creationId xmlns:a16="http://schemas.microsoft.com/office/drawing/2014/main" id="{A283974F-E570-B971-C3FC-802C7D896AF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810862" y="686710"/>
          <a:ext cx="299966" cy="272359"/>
        </a:xfrm>
        <a:prstGeom prst="rect">
          <a:avLst/>
        </a:prstGeom>
      </xdr:spPr>
    </xdr:pic>
    <xdr:clientData/>
  </xdr:twoCellAnchor>
  <xdr:twoCellAnchor editAs="oneCell">
    <xdr:from>
      <xdr:col>0</xdr:col>
      <xdr:colOff>122623</xdr:colOff>
      <xdr:row>3</xdr:row>
      <xdr:rowOff>170792</xdr:rowOff>
    </xdr:from>
    <xdr:to>
      <xdr:col>1</xdr:col>
      <xdr:colOff>367862</xdr:colOff>
      <xdr:row>16</xdr:row>
      <xdr:rowOff>26275</xdr:rowOff>
    </xdr:to>
    <mc:AlternateContent xmlns:mc="http://schemas.openxmlformats.org/markup-compatibility/2006">
      <mc:Choice xmlns:a14="http://schemas.microsoft.com/office/drawing/2010/main" Requires="a14">
        <xdr:graphicFrame macro="">
          <xdr:nvGraphicFramePr>
            <xdr:cNvPr id="133" name="Date (Month)">
              <a:extLst>
                <a:ext uri="{FF2B5EF4-FFF2-40B4-BE49-F238E27FC236}">
                  <a16:creationId xmlns:a16="http://schemas.microsoft.com/office/drawing/2014/main" id="{BF75B37B-64ED-40E9-B28C-1D869958ECE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22623" y="722585"/>
              <a:ext cx="853963" cy="2246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512379</xdr:colOff>
      <xdr:row>5</xdr:row>
      <xdr:rowOff>144517</xdr:rowOff>
    </xdr:from>
    <xdr:to>
      <xdr:col>3</xdr:col>
      <xdr:colOff>297794</xdr:colOff>
      <xdr:row>7</xdr:row>
      <xdr:rowOff>140138</xdr:rowOff>
    </xdr:to>
    <xdr:graphicFrame macro="">
      <xdr:nvGraphicFramePr>
        <xdr:cNvPr id="134" name="Chart 133">
          <a:hlinkClick xmlns:r="http://schemas.openxmlformats.org/officeDocument/2006/relationships" r:id="rId8"/>
          <a:extLst>
            <a:ext uri="{FF2B5EF4-FFF2-40B4-BE49-F238E27FC236}">
              <a16:creationId xmlns:a16="http://schemas.microsoft.com/office/drawing/2014/main" id="{07FE50AD-678D-47EA-8DD3-CB2332ED6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350345</xdr:colOff>
      <xdr:row>5</xdr:row>
      <xdr:rowOff>61312</xdr:rowOff>
    </xdr:from>
    <xdr:to>
      <xdr:col>5</xdr:col>
      <xdr:colOff>127000</xdr:colOff>
      <xdr:row>7</xdr:row>
      <xdr:rowOff>127000</xdr:rowOff>
    </xdr:to>
    <xdr:graphicFrame macro="">
      <xdr:nvGraphicFramePr>
        <xdr:cNvPr id="136" name="Chart 135">
          <a:hlinkClick xmlns:r="http://schemas.openxmlformats.org/officeDocument/2006/relationships" r:id="rId10"/>
          <a:extLst>
            <a:ext uri="{FF2B5EF4-FFF2-40B4-BE49-F238E27FC236}">
              <a16:creationId xmlns:a16="http://schemas.microsoft.com/office/drawing/2014/main" id="{DCE969ED-FA65-46FE-828F-F36A21DED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367862</xdr:colOff>
      <xdr:row>2</xdr:row>
      <xdr:rowOff>13137</xdr:rowOff>
    </xdr:from>
    <xdr:to>
      <xdr:col>3</xdr:col>
      <xdr:colOff>582449</xdr:colOff>
      <xdr:row>2</xdr:row>
      <xdr:rowOff>170792</xdr:rowOff>
    </xdr:to>
    <xdr:sp macro="" textlink="">
      <xdr:nvSpPr>
        <xdr:cNvPr id="148" name="TextBox 147">
          <a:extLst>
            <a:ext uri="{FF2B5EF4-FFF2-40B4-BE49-F238E27FC236}">
              <a16:creationId xmlns:a16="http://schemas.microsoft.com/office/drawing/2014/main" id="{93B34361-F1FC-9FCC-4E2A-C2FDEE58CEEA}"/>
            </a:ext>
          </a:extLst>
        </xdr:cNvPr>
        <xdr:cNvSpPr txBox="1"/>
      </xdr:nvSpPr>
      <xdr:spPr>
        <a:xfrm>
          <a:off x="976586" y="380999"/>
          <a:ext cx="1432035" cy="157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MONTHLY REPORT</a:t>
          </a:r>
        </a:p>
      </xdr:txBody>
    </xdr:sp>
    <xdr:clientData/>
  </xdr:twoCellAnchor>
  <xdr:twoCellAnchor>
    <xdr:from>
      <xdr:col>5</xdr:col>
      <xdr:colOff>201448</xdr:colOff>
      <xdr:row>5</xdr:row>
      <xdr:rowOff>109482</xdr:rowOff>
    </xdr:from>
    <xdr:to>
      <xdr:col>6</xdr:col>
      <xdr:colOff>573689</xdr:colOff>
      <xdr:row>7</xdr:row>
      <xdr:rowOff>126999</xdr:rowOff>
    </xdr:to>
    <xdr:graphicFrame macro="">
      <xdr:nvGraphicFramePr>
        <xdr:cNvPr id="149" name="Chart 148">
          <a:hlinkClick xmlns:r="http://schemas.openxmlformats.org/officeDocument/2006/relationships" r:id="rId12"/>
          <a:extLst>
            <a:ext uri="{FF2B5EF4-FFF2-40B4-BE49-F238E27FC236}">
              <a16:creationId xmlns:a16="http://schemas.microsoft.com/office/drawing/2014/main" id="{07799813-9AFD-4F3E-9D85-BD4019DF4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516760</xdr:colOff>
          <xdr:row>8</xdr:row>
          <xdr:rowOff>4379</xdr:rowOff>
        </xdr:from>
        <xdr:to>
          <xdr:col>6</xdr:col>
          <xdr:colOff>582449</xdr:colOff>
          <xdr:row>10</xdr:row>
          <xdr:rowOff>157656</xdr:rowOff>
        </xdr:to>
        <xdr:pic>
          <xdr:nvPicPr>
            <xdr:cNvPr id="155" name="Picture 154">
              <a:extLst>
                <a:ext uri="{FF2B5EF4-FFF2-40B4-BE49-F238E27FC236}">
                  <a16:creationId xmlns:a16="http://schemas.microsoft.com/office/drawing/2014/main" id="{CA32E98C-BCB4-145E-6944-F6D8AD552AC0}"/>
                </a:ext>
              </a:extLst>
            </xdr:cNvPr>
            <xdr:cNvPicPr>
              <a:picLocks noChangeAspect="1" noChangeArrowheads="1"/>
              <a:extLst>
                <a:ext uri="{84589F7E-364E-4C9E-8A38-B11213B215E9}">
                  <a14:cameraTool cellRange="'Pivot Report'!$A$52:$D$54" spid="_x0000_s2060"/>
                </a:ext>
              </a:extLst>
            </xdr:cNvPicPr>
          </xdr:nvPicPr>
          <xdr:blipFill>
            <a:blip xmlns:r="http://schemas.openxmlformats.org/officeDocument/2006/relationships" r:embed="rId14"/>
            <a:srcRect/>
            <a:stretch>
              <a:fillRect/>
            </a:stretch>
          </xdr:blipFill>
          <xdr:spPr bwMode="auto">
            <a:xfrm>
              <a:off x="1125484" y="1475827"/>
              <a:ext cx="3109310" cy="521139"/>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564931</xdr:colOff>
      <xdr:row>11</xdr:row>
      <xdr:rowOff>70069</xdr:rowOff>
    </xdr:from>
    <xdr:to>
      <xdr:col>6</xdr:col>
      <xdr:colOff>494861</xdr:colOff>
      <xdr:row>16</xdr:row>
      <xdr:rowOff>78827</xdr:rowOff>
    </xdr:to>
    <xdr:graphicFrame macro="">
      <xdr:nvGraphicFramePr>
        <xdr:cNvPr id="156" name="Chart 155">
          <a:extLst>
            <a:ext uri="{FF2B5EF4-FFF2-40B4-BE49-F238E27FC236}">
              <a16:creationId xmlns:a16="http://schemas.microsoft.com/office/drawing/2014/main" id="{14531D4B-CBB4-4DB2-90B2-396444721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157656</xdr:colOff>
      <xdr:row>0</xdr:row>
      <xdr:rowOff>87586</xdr:rowOff>
    </xdr:from>
    <xdr:to>
      <xdr:col>9</xdr:col>
      <xdr:colOff>21897</xdr:colOff>
      <xdr:row>6</xdr:row>
      <xdr:rowOff>113862</xdr:rowOff>
    </xdr:to>
    <xdr:graphicFrame macro="">
      <xdr:nvGraphicFramePr>
        <xdr:cNvPr id="158" name="Chart 157">
          <a:extLst>
            <a:ext uri="{FF2B5EF4-FFF2-40B4-BE49-F238E27FC236}">
              <a16:creationId xmlns:a16="http://schemas.microsoft.com/office/drawing/2014/main" id="{5CEC7893-6AE4-4134-859A-26761A032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197070</xdr:colOff>
      <xdr:row>6</xdr:row>
      <xdr:rowOff>83206</xdr:rowOff>
    </xdr:from>
    <xdr:to>
      <xdr:col>9</xdr:col>
      <xdr:colOff>43793</xdr:colOff>
      <xdr:row>7</xdr:row>
      <xdr:rowOff>48172</xdr:rowOff>
    </xdr:to>
    <xdr:sp macro="" textlink="">
      <xdr:nvSpPr>
        <xdr:cNvPr id="159" name="TextBox 158">
          <a:extLst>
            <a:ext uri="{FF2B5EF4-FFF2-40B4-BE49-F238E27FC236}">
              <a16:creationId xmlns:a16="http://schemas.microsoft.com/office/drawing/2014/main" id="{3155994D-BB2D-B98B-EA0F-0B594484A925}"/>
            </a:ext>
          </a:extLst>
        </xdr:cNvPr>
        <xdr:cNvSpPr txBox="1"/>
      </xdr:nvSpPr>
      <xdr:spPr>
        <a:xfrm>
          <a:off x="4458139" y="1186792"/>
          <a:ext cx="1064171" cy="148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a:t>Patient Attend Status</a:t>
          </a:r>
        </a:p>
      </xdr:txBody>
    </xdr:sp>
    <xdr:clientData/>
  </xdr:twoCellAnchor>
  <xdr:twoCellAnchor>
    <xdr:from>
      <xdr:col>9</xdr:col>
      <xdr:colOff>218965</xdr:colOff>
      <xdr:row>0</xdr:row>
      <xdr:rowOff>48172</xdr:rowOff>
    </xdr:from>
    <xdr:to>
      <xdr:col>11</xdr:col>
      <xdr:colOff>249620</xdr:colOff>
      <xdr:row>7</xdr:row>
      <xdr:rowOff>113862</xdr:rowOff>
    </xdr:to>
    <xdr:graphicFrame macro="">
      <xdr:nvGraphicFramePr>
        <xdr:cNvPr id="160" name="Chart 159">
          <a:extLst>
            <a:ext uri="{FF2B5EF4-FFF2-40B4-BE49-F238E27FC236}">
              <a16:creationId xmlns:a16="http://schemas.microsoft.com/office/drawing/2014/main" id="{D8AB518E-8F6D-47FC-9749-A77F58CDD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332828</xdr:colOff>
      <xdr:row>6</xdr:row>
      <xdr:rowOff>91966</xdr:rowOff>
    </xdr:from>
    <xdr:to>
      <xdr:col>11</xdr:col>
      <xdr:colOff>144517</xdr:colOff>
      <xdr:row>7</xdr:row>
      <xdr:rowOff>83207</xdr:rowOff>
    </xdr:to>
    <xdr:sp macro="" textlink="">
      <xdr:nvSpPr>
        <xdr:cNvPr id="161" name="TextBox 160">
          <a:extLst>
            <a:ext uri="{FF2B5EF4-FFF2-40B4-BE49-F238E27FC236}">
              <a16:creationId xmlns:a16="http://schemas.microsoft.com/office/drawing/2014/main" id="{C363B02F-2F96-9C10-34F3-59AA7AA6BE6C}"/>
            </a:ext>
          </a:extLst>
        </xdr:cNvPr>
        <xdr:cNvSpPr txBox="1"/>
      </xdr:nvSpPr>
      <xdr:spPr>
        <a:xfrm>
          <a:off x="5811345" y="1195552"/>
          <a:ext cx="1029138" cy="175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a:t>Gender wise Analysis</a:t>
          </a:r>
        </a:p>
      </xdr:txBody>
    </xdr:sp>
    <xdr:clientData/>
  </xdr:twoCellAnchor>
  <xdr:twoCellAnchor>
    <xdr:from>
      <xdr:col>7</xdr:col>
      <xdr:colOff>131379</xdr:colOff>
      <xdr:row>8</xdr:row>
      <xdr:rowOff>39414</xdr:rowOff>
    </xdr:from>
    <xdr:to>
      <xdr:col>11</xdr:col>
      <xdr:colOff>245241</xdr:colOff>
      <xdr:row>16</xdr:row>
      <xdr:rowOff>56931</xdr:rowOff>
    </xdr:to>
    <xdr:graphicFrame macro="">
      <xdr:nvGraphicFramePr>
        <xdr:cNvPr id="162" name="Chart 161">
          <a:extLst>
            <a:ext uri="{FF2B5EF4-FFF2-40B4-BE49-F238E27FC236}">
              <a16:creationId xmlns:a16="http://schemas.microsoft.com/office/drawing/2014/main" id="{884F854B-FB2D-4C38-B02A-082D9F212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591208</xdr:colOff>
      <xdr:row>14</xdr:row>
      <xdr:rowOff>179553</xdr:rowOff>
    </xdr:from>
    <xdr:to>
      <xdr:col>10</xdr:col>
      <xdr:colOff>564932</xdr:colOff>
      <xdr:row>15</xdr:row>
      <xdr:rowOff>157655</xdr:rowOff>
    </xdr:to>
    <xdr:sp macro="" textlink="">
      <xdr:nvSpPr>
        <xdr:cNvPr id="163" name="TextBox 162">
          <a:extLst>
            <a:ext uri="{FF2B5EF4-FFF2-40B4-BE49-F238E27FC236}">
              <a16:creationId xmlns:a16="http://schemas.microsoft.com/office/drawing/2014/main" id="{A98E2372-820E-849B-F392-BB64D5341D5F}"/>
            </a:ext>
          </a:extLst>
        </xdr:cNvPr>
        <xdr:cNvSpPr txBox="1"/>
      </xdr:nvSpPr>
      <xdr:spPr>
        <a:xfrm>
          <a:off x="4852277" y="2754587"/>
          <a:ext cx="1799896" cy="16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No.of</a:t>
          </a:r>
          <a:r>
            <a:rPr lang="en-IN" sz="800" baseline="0"/>
            <a:t> patient by department referall</a:t>
          </a:r>
          <a:endParaRPr lang="en-IN" sz="800"/>
        </a:p>
      </xdr:txBody>
    </xdr:sp>
    <xdr:clientData/>
  </xdr:twoCellAnchor>
  <xdr:twoCellAnchor editAs="oneCell">
    <xdr:from>
      <xdr:col>5</xdr:col>
      <xdr:colOff>223346</xdr:colOff>
      <xdr:row>0</xdr:row>
      <xdr:rowOff>183930</xdr:rowOff>
    </xdr:from>
    <xdr:to>
      <xdr:col>6</xdr:col>
      <xdr:colOff>578069</xdr:colOff>
      <xdr:row>3</xdr:row>
      <xdr:rowOff>8758</xdr:rowOff>
    </xdr:to>
    <mc:AlternateContent xmlns:mc="http://schemas.openxmlformats.org/markup-compatibility/2006">
      <mc:Choice xmlns:a14="http://schemas.microsoft.com/office/drawing/2010/main" Requires="a14">
        <xdr:graphicFrame macro="">
          <xdr:nvGraphicFramePr>
            <xdr:cNvPr id="164" name="Date (Year)">
              <a:extLst>
                <a:ext uri="{FF2B5EF4-FFF2-40B4-BE49-F238E27FC236}">
                  <a16:creationId xmlns:a16="http://schemas.microsoft.com/office/drawing/2014/main" id="{FC360614-5F90-40B7-B969-11D665B9E13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266967" y="183930"/>
              <a:ext cx="963447" cy="376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0.15906</cdr:x>
      <cdr:y>0.81604</cdr:y>
    </cdr:from>
    <cdr:to>
      <cdr:x>0.77025</cdr:x>
      <cdr:y>0.99057</cdr:y>
    </cdr:to>
    <cdr:sp macro="" textlink="">
      <cdr:nvSpPr>
        <cdr:cNvPr id="2" name="TextBox 1">
          <a:extLst xmlns:a="http://schemas.openxmlformats.org/drawingml/2006/main">
            <a:ext uri="{FF2B5EF4-FFF2-40B4-BE49-F238E27FC236}">
              <a16:creationId xmlns:a16="http://schemas.microsoft.com/office/drawing/2014/main" id="{95699E31-7D98-657F-EF0C-7F683C44B4FC}"/>
            </a:ext>
          </a:extLst>
        </cdr:cNvPr>
        <cdr:cNvSpPr txBox="1"/>
      </cdr:nvSpPr>
      <cdr:spPr>
        <a:xfrm xmlns:a="http://schemas.openxmlformats.org/drawingml/2006/main">
          <a:off x="472966" y="757621"/>
          <a:ext cx="1817413" cy="16203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700" kern="1200"/>
            <a:t>No.of</a:t>
          </a:r>
          <a:r>
            <a:rPr lang="en-IN" sz="700" kern="1200" baseline="0"/>
            <a:t> Patient by Age Group</a:t>
          </a:r>
          <a:endParaRPr lang="en-IN" sz="7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0</xdr:colOff>
      <xdr:row>22</xdr:row>
      <xdr:rowOff>60960</xdr:rowOff>
    </xdr:to>
    <xdr:graphicFrame macro="">
      <xdr:nvGraphicFramePr>
        <xdr:cNvPr id="2" name="Chart 1">
          <a:extLst>
            <a:ext uri="{FF2B5EF4-FFF2-40B4-BE49-F238E27FC236}">
              <a16:creationId xmlns:a16="http://schemas.microsoft.com/office/drawing/2014/main" id="{43E0C429-DACF-43F6-9FF5-5349E3321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152400</xdr:colOff>
      <xdr:row>0</xdr:row>
      <xdr:rowOff>91440</xdr:rowOff>
    </xdr:from>
    <xdr:to>
      <xdr:col>1</xdr:col>
      <xdr:colOff>137160</xdr:colOff>
      <xdr:row>3</xdr:row>
      <xdr:rowOff>137160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C6EAB91F-CA8E-2C7D-641B-0E5358371F0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2400" y="91440"/>
          <a:ext cx="594360" cy="594360"/>
        </a:xfrm>
        <a:prstGeom prst="rect">
          <a:avLst/>
        </a:prstGeom>
      </xdr:spPr>
    </xdr:pic>
    <xdr:clientData/>
  </xdr:twoCellAnchor>
</xdr:wsDr>
</file>

<file path=xl/drawings/drawing5.xml><?xml version="1.0" encoding="utf-8"?>
<c:userShapes xmlns:c="http://schemas.openxmlformats.org/drawingml/2006/chart">
  <cdr:relSizeAnchor xmlns:cdr="http://schemas.openxmlformats.org/drawingml/2006/chartDrawing">
    <cdr:from>
      <cdr:x>0.26974</cdr:x>
      <cdr:y>0.7561</cdr:y>
    </cdr:from>
    <cdr:to>
      <cdr:x>0.34868</cdr:x>
      <cdr:y>1</cdr:y>
    </cdr:to>
    <cdr:sp macro="" textlink="">
      <cdr:nvSpPr>
        <cdr:cNvPr id="2" name="TextBox 1">
          <a:extLst xmlns:a="http://schemas.openxmlformats.org/drawingml/2006/main">
            <a:ext uri="{FF2B5EF4-FFF2-40B4-BE49-F238E27FC236}">
              <a16:creationId xmlns:a16="http://schemas.microsoft.com/office/drawing/2014/main" id="{5F7432B7-B34B-FD55-73B7-871FC5AA7DCD}"/>
            </a:ext>
          </a:extLst>
        </cdr:cNvPr>
        <cdr:cNvSpPr txBox="1"/>
      </cdr:nvSpPr>
      <cdr:spPr>
        <a:xfrm xmlns:a="http://schemas.openxmlformats.org/drawingml/2006/main">
          <a:off x="3124200" y="375666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0.26842</cdr:x>
      <cdr:y>0.92537</cdr:y>
    </cdr:from>
    <cdr:to>
      <cdr:x>0.775</cdr:x>
      <cdr:y>0.98881</cdr:y>
    </cdr:to>
    <cdr:sp macro="" textlink="">
      <cdr:nvSpPr>
        <cdr:cNvPr id="3" name="TextBox 2">
          <a:extLst xmlns:a="http://schemas.openxmlformats.org/drawingml/2006/main">
            <a:ext uri="{FF2B5EF4-FFF2-40B4-BE49-F238E27FC236}">
              <a16:creationId xmlns:a16="http://schemas.microsoft.com/office/drawing/2014/main" id="{8789DCF5-8E29-E893-2B1E-3763C41A41A7}"/>
            </a:ext>
          </a:extLst>
        </cdr:cNvPr>
        <cdr:cNvSpPr txBox="1"/>
      </cdr:nvSpPr>
      <cdr:spPr>
        <a:xfrm xmlns:a="http://schemas.openxmlformats.org/drawingml/2006/main">
          <a:off x="3108960" y="3779520"/>
          <a:ext cx="5867400" cy="2590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solidFill>
                <a:schemeClr val="bg1"/>
              </a:solidFill>
            </a:rPr>
            <a:t>Show</a:t>
          </a:r>
          <a:r>
            <a:rPr lang="en-IN" sz="1100" kern="1200" baseline="0">
              <a:solidFill>
                <a:schemeClr val="bg1"/>
              </a:solidFill>
            </a:rPr>
            <a:t> a daily trend with an area sparkline to spot patterns like busy days or seasonal trends </a:t>
          </a:r>
          <a:endParaRPr lang="en-IN" sz="1100" kern="1200">
            <a:solidFill>
              <a:schemeClr val="bg1"/>
            </a:solidFill>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15240</xdr:colOff>
      <xdr:row>20</xdr:row>
      <xdr:rowOff>152400</xdr:rowOff>
    </xdr:to>
    <xdr:graphicFrame macro="">
      <xdr:nvGraphicFramePr>
        <xdr:cNvPr id="2" name="Chart 1">
          <a:extLst>
            <a:ext uri="{FF2B5EF4-FFF2-40B4-BE49-F238E27FC236}">
              <a16:creationId xmlns:a16="http://schemas.microsoft.com/office/drawing/2014/main" id="{FC4219B5-D198-476F-918C-A5F4641D1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0.12089</cdr:x>
      <cdr:y>0.89</cdr:y>
    </cdr:from>
    <cdr:to>
      <cdr:x>0.73193</cdr:x>
      <cdr:y>0.952</cdr:y>
    </cdr:to>
    <cdr:sp macro="" textlink="">
      <cdr:nvSpPr>
        <cdr:cNvPr id="2" name="TextBox 1">
          <a:extLst xmlns:a="http://schemas.openxmlformats.org/drawingml/2006/main">
            <a:ext uri="{FF2B5EF4-FFF2-40B4-BE49-F238E27FC236}">
              <a16:creationId xmlns:a16="http://schemas.microsoft.com/office/drawing/2014/main" id="{88883595-AAAA-3D70-78E2-2C4514FB8A85}"/>
            </a:ext>
          </a:extLst>
        </cdr:cNvPr>
        <cdr:cNvSpPr txBox="1"/>
      </cdr:nvSpPr>
      <cdr:spPr>
        <a:xfrm xmlns:a="http://schemas.openxmlformats.org/drawingml/2006/main">
          <a:off x="1402080" y="3390900"/>
          <a:ext cx="7086600" cy="2362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0.12352</cdr:x>
      <cdr:y>0.92</cdr:y>
    </cdr:from>
    <cdr:to>
      <cdr:x>0.6912</cdr:x>
      <cdr:y>0.974</cdr:y>
    </cdr:to>
    <cdr:sp macro="" textlink="">
      <cdr:nvSpPr>
        <cdr:cNvPr id="3" name="TextBox 2">
          <a:extLst xmlns:a="http://schemas.openxmlformats.org/drawingml/2006/main">
            <a:ext uri="{FF2B5EF4-FFF2-40B4-BE49-F238E27FC236}">
              <a16:creationId xmlns:a16="http://schemas.microsoft.com/office/drawing/2014/main" id="{C7BEDDBB-C43A-C3BD-4E30-D54A5971776B}"/>
            </a:ext>
          </a:extLst>
        </cdr:cNvPr>
        <cdr:cNvSpPr txBox="1"/>
      </cdr:nvSpPr>
      <cdr:spPr>
        <a:xfrm xmlns:a="http://schemas.openxmlformats.org/drawingml/2006/main">
          <a:off x="1432560" y="3505200"/>
          <a:ext cx="6583680" cy="2057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0.182</cdr:x>
      <cdr:y>0.906</cdr:y>
    </cdr:from>
    <cdr:to>
      <cdr:x>0.7753</cdr:x>
      <cdr:y>0.976</cdr:y>
    </cdr:to>
    <cdr:sp macro="" textlink="">
      <cdr:nvSpPr>
        <cdr:cNvPr id="4" name="TextBox 3">
          <a:extLst xmlns:a="http://schemas.openxmlformats.org/drawingml/2006/main">
            <a:ext uri="{FF2B5EF4-FFF2-40B4-BE49-F238E27FC236}">
              <a16:creationId xmlns:a16="http://schemas.microsoft.com/office/drawing/2014/main" id="{25649157-7715-D975-5C26-54F2604CB43D}"/>
            </a:ext>
          </a:extLst>
        </cdr:cNvPr>
        <cdr:cNvSpPr txBox="1"/>
      </cdr:nvSpPr>
      <cdr:spPr>
        <a:xfrm xmlns:a="http://schemas.openxmlformats.org/drawingml/2006/main">
          <a:off x="2110740" y="3451860"/>
          <a:ext cx="6880860"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solidFill>
                <a:schemeClr val="bg1"/>
              </a:solidFill>
            </a:rPr>
            <a:t>Use</a:t>
          </a:r>
          <a:r>
            <a:rPr lang="en-IN" sz="1100" kern="1200" baseline="0">
              <a:solidFill>
                <a:schemeClr val="bg1"/>
              </a:solidFill>
            </a:rPr>
            <a:t> an area sparline to track daily changes and highlight days with longer wait times that might need improvement</a:t>
          </a:r>
          <a:endParaRPr lang="en-IN" sz="1100" kern="1200">
            <a:solidFill>
              <a:schemeClr val="bg1"/>
            </a:solidFill>
          </a:endParaRPr>
        </a:p>
      </cdr:txBody>
    </cdr:sp>
  </cdr:relSizeAnchor>
  <cdr:relSizeAnchor xmlns:cdr="http://schemas.openxmlformats.org/drawingml/2006/chartDrawing">
    <cdr:from>
      <cdr:x>0.00591</cdr:x>
      <cdr:y>0.01</cdr:y>
    </cdr:from>
    <cdr:to>
      <cdr:x>0.05125</cdr:x>
      <cdr:y>0.148</cdr:y>
    </cdr:to>
    <cdr:pic>
      <cdr:nvPicPr>
        <cdr:cNvPr id="6" name="Graphic 5"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497ABE5-88F8-03FB-9510-BC9AA669421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68580" y="38100"/>
          <a:ext cx="525780" cy="525780"/>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7620</xdr:colOff>
      <xdr:row>0</xdr:row>
      <xdr:rowOff>0</xdr:rowOff>
    </xdr:from>
    <xdr:to>
      <xdr:col>18</xdr:col>
      <xdr:colOff>601980</xdr:colOff>
      <xdr:row>17</xdr:row>
      <xdr:rowOff>167640</xdr:rowOff>
    </xdr:to>
    <xdr:graphicFrame macro="">
      <xdr:nvGraphicFramePr>
        <xdr:cNvPr id="2" name="Chart 1">
          <a:extLst>
            <a:ext uri="{FF2B5EF4-FFF2-40B4-BE49-F238E27FC236}">
              <a16:creationId xmlns:a16="http://schemas.microsoft.com/office/drawing/2014/main" id="{AC151C1D-D677-4A89-9BCE-6AB351BB0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586740</xdr:colOff>
      <xdr:row>15</xdr:row>
      <xdr:rowOff>38100</xdr:rowOff>
    </xdr:from>
    <xdr:to>
      <xdr:col>12</xdr:col>
      <xdr:colOff>495300</xdr:colOff>
      <xdr:row>16</xdr:row>
      <xdr:rowOff>160020</xdr:rowOff>
    </xdr:to>
    <xdr:sp macro="" textlink="">
      <xdr:nvSpPr>
        <xdr:cNvPr id="3" name="TextBox 2">
          <a:extLst>
            <a:ext uri="{FF2B5EF4-FFF2-40B4-BE49-F238E27FC236}">
              <a16:creationId xmlns:a16="http://schemas.microsoft.com/office/drawing/2014/main" id="{7BBEA981-EBB5-5B94-1099-4C529604008B}"/>
            </a:ext>
          </a:extLst>
        </xdr:cNvPr>
        <xdr:cNvSpPr txBox="1"/>
      </xdr:nvSpPr>
      <xdr:spPr>
        <a:xfrm>
          <a:off x="3634740" y="2781300"/>
          <a:ext cx="41757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Use an area sparkline to show trends, spot drops in satisfaction scores</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0.00461</cdr:x>
      <cdr:y>0.02558</cdr:y>
    </cdr:from>
    <cdr:to>
      <cdr:x>0.05995</cdr:x>
      <cdr:y>0.19535</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582AF69-642E-939D-3C00-C5873ECA708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3340" y="83820"/>
          <a:ext cx="640080" cy="55626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6.812095949077" createdVersion="5" refreshedVersion="8" minRefreshableVersion="3" recordCount="0" supportSubquery="1" supportAdvancedDrill="1" xr:uid="{62A19B84-398E-4F76-8F35-CD245A657163}">
  <cacheSource type="external" connectionId="3"/>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4"/>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6.812096296293" createdVersion="5" refreshedVersion="8" minRefreshableVersion="3" recordCount="0" supportSubquery="1" supportAdvancedDrill="1" xr:uid="{081BF762-2478-4EF3-92BA-1544F6E02BC5}">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6.812096759262" createdVersion="5" refreshedVersion="8" minRefreshableVersion="3" recordCount="0" supportSubquery="1" supportAdvancedDrill="1" xr:uid="{3F1361D2-D5D9-4190-A334-D15AEFAD5403}">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6.812097106478" createdVersion="5" refreshedVersion="8" minRefreshableVersion="3" recordCount="0" supportSubquery="1" supportAdvancedDrill="1" xr:uid="{8A210C13-D0C8-4811-A5CC-77F5C68F5849}">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6.812097337963" createdVersion="5" refreshedVersion="8" minRefreshableVersion="3" recordCount="0" supportSubquery="1" supportAdvancedDrill="1" xr:uid="{777CB2CA-E095-40AC-B569-33290C877B58}">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6.812097569447" createdVersion="5" refreshedVersion="8" minRefreshableVersion="3" recordCount="0" supportSubquery="1" supportAdvancedDrill="1" xr:uid="{9D3AB2C6-752F-4F39-B5D4-00D32B93DFC5}">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6.812098032409" createdVersion="5" refreshedVersion="8" minRefreshableVersion="3" recordCount="0" supportSubquery="1" supportAdvancedDrill="1" xr:uid="{F1C5EEB5-4290-4439-BCC7-527D9B4E6C6B}">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6.81209861111" createdVersion="5" refreshedVersion="8" minRefreshableVersion="3" recordCount="0" supportSubquery="1" supportAdvancedDrill="1" xr:uid="{EAEC6478-252E-408D-9E6F-B44504064E73}">
  <cacheSource type="external" connectionId="3"/>
  <cacheFields count="4">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6.812099189818" createdVersion="5" refreshedVersion="8" minRefreshableVersion="3" recordCount="0" supportSubquery="1" supportAdvancedDrill="1" xr:uid="{ABC58F6D-0794-4ED1-9E66-AAE93B6FE52F}">
  <cacheSource type="external" connectionId="3"/>
  <cacheFields count="4">
    <cacheField name="[Calender_Table].[Date (Day)].[Date (Day)]" caption="Date (Day)" numFmtId="0" hierarchy="2"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6.81209965278" createdVersion="5" refreshedVersion="8" minRefreshableVersion="3" recordCount="0" supportSubquery="1" supportAdvancedDrill="1" xr:uid="{DA02EDBD-FE26-43AA-BD79-FA9CBC5A61A8}">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6.81210023148" createdVersion="5" refreshedVersion="8" minRefreshableVersion="3" recordCount="0" supportSubquery="1" supportAdvancedDrill="1" xr:uid="{53827D55-0126-4EB8-8287-8F1816BEA8C9}">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Group].[Age-Group]" caption="Age-Group" numFmtId="0" hierarchy="16" level="1">
      <sharedItems count="8">
        <s v="0-9"/>
        <s v="10-19"/>
        <s v="20-29"/>
        <s v="30-39"/>
        <s v="40-49"/>
        <s v="50-59"/>
        <s v="60-69"/>
        <s v="70-79"/>
      </sharedItems>
    </cacheField>
    <cacheField name="[Measures].[Count of Age-Group]" caption="Count of Age-Group" numFmtId="0" hierarchy="31"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Group]" caption="Count of Age-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6.812100810188" createdVersion="5" refreshedVersion="8" minRefreshableVersion="3" recordCount="0" supportSubquery="1" supportAdvancedDrill="1" xr:uid="{0BEDAE59-ADF1-4125-9794-73C32452EFF5}">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0"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06.803835648148" createdVersion="3" refreshedVersion="8" minRefreshableVersion="3" recordCount="0" supportSubquery="1" supportAdvancedDrill="1" xr:uid="{33463C80-3864-4A04-9EAF-F5FDCE8AE6E7}">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272506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A64573-8DA2-480E-AD38-D21BC13F935E}" name="PivotTable12" cacheId="4102" applyNumberFormats="0" applyBorderFormats="0" applyFontFormats="0" applyPatternFormats="0" applyAlignmentFormats="0" applyWidthHeightFormats="1" dataCaption="Values" tag="6e933dee-29b9-4cda-a4c7-ed1bc02aecaf" updatedVersion="8" minRefreshableVersion="3" subtotalHiddenItems="1" itemPrintTitles="1" createdVersion="5" indent="0" outline="1" outlineData="1" multipleFieldFilters="0" chartFormat="33">
  <location ref="A108:A11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76">
      <pivotArea outline="0" collapsedLevelsAreSubtotals="1" fieldPosition="0"/>
    </format>
  </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3AF67F-39CA-4C27-8F24-97FFB09E9060}" name="PivotTable11" cacheId="4111" applyNumberFormats="0" applyBorderFormats="0" applyFontFormats="0" applyPatternFormats="0" applyAlignmentFormats="0" applyWidthHeightFormats="1" dataCaption="Values" tag="e692b5ce-f6ec-4c37-bbdf-123bdde4b94c" updatedVersion="8" minRefreshableVersion="3" subtotalHiddenItems="1" itemPrintTitles="1" createdVersion="5" indent="0" outline="1" outlineData="1" multipleFieldFilters="0" chartFormat="33">
  <location ref="A94:B10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Department Referral" fld="2" subtotal="count" baseField="0" baseItem="0"/>
  </dataFields>
  <formats count="1">
    <format dxfId="298">
      <pivotArea outline="0" collapsedLevelsAreSubtotals="1" fieldPosition="0"/>
    </format>
  </formats>
  <chartFormats count="1">
    <chartFormat chart="3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C84728-8A38-4B1E-8DAE-38D63331E824}" name="PivotTable10" cacheId="4108" applyNumberFormats="0" applyBorderFormats="0" applyFontFormats="0" applyPatternFormats="0" applyAlignmentFormats="0" applyWidthHeightFormats="1" dataCaption="Values" tag="22ba5775-9b71-41e7-8421-cb8c701cef83" updatedVersion="8" minRefreshableVersion="3" subtotalHiddenItems="1" itemPrintTitles="1" createdVersion="5" indent="0" outline="1" outlineData="1" multipleFieldFilters="0" chartFormat="29">
  <location ref="A86:B8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99">
      <pivotArea outline="0" collapsedLevelsAreSubtotals="1" fieldPosition="0"/>
    </format>
  </formats>
  <chartFormats count="6">
    <chartFormat chart="27" format="1" series="1">
      <pivotArea type="data" outline="0" fieldPosition="0">
        <references count="1">
          <reference field="4294967294" count="1" selected="0">
            <x v="0"/>
          </reference>
        </references>
      </pivotArea>
    </chartFormat>
    <chartFormat chart="27" format="2">
      <pivotArea type="data" outline="0" fieldPosition="0">
        <references count="2">
          <reference field="4294967294" count="1" selected="0">
            <x v="0"/>
          </reference>
          <reference field="1" count="1" selected="0">
            <x v="0"/>
          </reference>
        </references>
      </pivotArea>
    </chartFormat>
    <chartFormat chart="27" format="3">
      <pivotArea type="data" outline="0" fieldPosition="0">
        <references count="2">
          <reference field="4294967294" count="1" selected="0">
            <x v="0"/>
          </reference>
          <reference field="1"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1" count="1" selected="0">
            <x v="0"/>
          </reference>
        </references>
      </pivotArea>
    </chartFormat>
    <chartFormat chart="28"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B82372-8C86-4507-B908-8B7A71C9E228}" name="PivotTable9" cacheId="4135" applyNumberFormats="0" applyBorderFormats="0" applyFontFormats="0" applyPatternFormats="0" applyAlignmentFormats="0" applyWidthHeightFormats="1" dataCaption="Values" tag="023e7b75-7379-40c5-9089-f5983357e7b5" updatedVersion="8" minRefreshableVersion="3" subtotalHiddenItems="1" itemPrintTitles="1" createdVersion="5" indent="0" outline="1" outlineData="1" multipleFieldFilters="0" chartFormat="25">
  <location ref="A78:B8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300">
      <pivotArea outline="0" collapsedLevelsAreSubtotals="1" fieldPosition="0"/>
    </format>
  </formats>
  <chartFormats count="3">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1" count="1" selected="0">
            <x v="0"/>
          </reference>
        </references>
      </pivotArea>
    </chartFormat>
    <chartFormat chart="24"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1516BB-8E4D-4809-AC81-A4CD29E0F3BD}" name="PivotTable8" cacheId="4132" applyNumberFormats="0" applyBorderFormats="0" applyFontFormats="0" applyPatternFormats="0" applyAlignmentFormats="0" applyWidthHeightFormats="1" dataCaption="Values" tag="6b9dd2ec-3d26-4b7a-89eb-618688548ef1" updatedVersion="8" minRefreshableVersion="3" subtotalHiddenItems="1" itemPrintTitles="1" createdVersion="5" indent="0" outline="1" outlineData="1" multipleFieldFilters="0" chartFormat="6">
  <location ref="A61:B7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Group" fld="2" subtotal="count" baseField="0" baseItem="0" numFmtId="1"/>
  </dataFields>
  <formats count="1">
    <format dxfId="301">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D52673-82A1-42AC-9DFB-523CE23CAD09}" name="PivotTable7" cacheId="4129" applyNumberFormats="0" applyBorderFormats="0" applyFontFormats="0" applyPatternFormats="0" applyAlignmentFormats="0" applyWidthHeightFormats="1" dataCaption="Values" tag="e3138c01-ff44-4c46-ba3c-d3fc754d2134" updatedVersion="8" minRefreshableVersion="3" subtotalHiddenItems="1" itemPrintTitles="1" createdVersion="5" indent="0" outline="1" outlineData="1" multipleFieldFilters="0" chartFormat="2">
  <location ref="A44:C47"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302">
      <pivotArea outline="0" collapsedLevelsAreSubtotals="1" fieldPosition="0"/>
    </format>
    <format dxfId="303">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74A8A7-4A5E-4641-8654-6CF60FEC188A}" name="PivotTable6" cacheId="4126" applyNumberFormats="0" applyBorderFormats="0" applyFontFormats="0" applyPatternFormats="0" applyAlignmentFormats="0" applyWidthHeightFormats="1" dataCaption="Values" tag="c6a25f47-e346-40e6-8fa0-5dda68bd4636" updatedVersion="8" minRefreshableVersion="3" subtotalHiddenItems="1" itemPrintTitles="1" createdVersion="5" indent="0" outline="1" outlineData="1" multipleFieldFilters="0" chartFormat="27">
  <location ref="J4:K32"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1">
    <format dxfId="304">
      <pivotArea outline="0" collapsedLevelsAreSubtotals="1" fieldPosition="0"/>
    </format>
  </formats>
  <chartFormats count="3">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08F3D4-16C7-4D3C-AF8D-4CB554EFBF8E}" name="PivotTable5" cacheId="4123" applyNumberFormats="0" applyBorderFormats="0" applyFontFormats="0" applyPatternFormats="0" applyAlignmentFormats="0" applyWidthHeightFormats="1" dataCaption="Values" tag="178bf36f-9015-4496-b6fc-99e545c626a2" updatedVersion="8" minRefreshableVersion="3" subtotalHiddenItems="1" itemPrintTitles="1" createdVersion="5" indent="0" outline="1" outlineData="1" multipleFieldFilters="0" chartFormat="19">
  <location ref="G4:H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305">
      <pivotArea outline="0" collapsedLevelsAreSubtotals="1" fieldPosition="0"/>
    </format>
  </formats>
  <chartFormats count="2">
    <chartFormat chart="14" format="2"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141C68-2744-4180-9D4A-95589D55EC48}" name="PivotTable4" cacheId="4120" applyNumberFormats="0" applyBorderFormats="0" applyFontFormats="0" applyPatternFormats="0" applyAlignmentFormats="0" applyWidthHeightFormats="1" dataCaption="Values" tag="ec1774c5-3ce1-45bd-b333-f6a8ba864c08" updatedVersion="8" minRefreshableVersion="3" subtotalHiddenItems="1" itemPrintTitles="1" createdVersion="5" indent="0" outline="1" outlineData="1" multipleFieldFilters="0" chartFormat="11">
  <location ref="D4:E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C84686-C846-4EF5-965D-EEDABAC2D9A0}" name="PivotTable3" cacheId="4117" applyNumberFormats="0" applyBorderFormats="0" applyFontFormats="0" applyPatternFormats="0" applyAlignmentFormats="0" applyWidthHeightFormats="1" dataCaption="Values" tag="83c0f611-5d4f-402a-aeb2-53da9685e1aa"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07">
      <pivotArea outline="0" collapsedLevelsAreSubtotals="1" fieldPosition="0"/>
    </format>
  </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D788199-F74B-402D-8B7E-7A88CB02FA24}" name="PivotTable2" cacheId="4114" applyNumberFormats="0" applyBorderFormats="0" applyFontFormats="0" applyPatternFormats="0" applyAlignmentFormats="0" applyWidthHeightFormats="1" dataCaption="Values" tag="3516fb06-4b7a-4fa1-8335-0181b52849fb"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06">
      <pivotArea outline="0" collapsedLevelsAreSubtotals="1" fieldPosition="0"/>
    </format>
  </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9A3EDFC-1232-4E35-9AD1-DDA05C3449A5}" name="PivotTable1" cacheId="4105" applyNumberFormats="0" applyBorderFormats="0" applyFontFormats="0" applyPatternFormats="0" applyAlignmentFormats="0" applyWidthHeightFormats="1" dataCaption="Values" tag="758bbd58-6eeb-4e85-989e-4e290921e8d3"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126F241-F4E1-4BFB-81DD-3C3D7D8D631E}"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027250644">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3287CF7-6831-4542-81C2-CA9814B82447}"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027250644">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121A28C9-A8FE-42BB-8464-3E119498D0FF}" cache="Slicer_Date__Month" caption="Date (Month)" showCaption="0" level="1" style=" Mystyle" rowHeight="146304"/>
  <slicer name="Date (Year)" xr10:uid="{788AA298-364B-46DF-A178-F2A7528893D7}" cache="Slicer_Date__Year" caption="Date (Year)" columnCount="2" showCaption="0" level="1" style=" Mystyle"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49DA1-90BE-49AD-B0C4-8300404F10E5}">
  <dimension ref="A3:K110"/>
  <sheetViews>
    <sheetView topLeftCell="A85" workbookViewId="0">
      <selection activeCell="M8" sqref="M8"/>
    </sheetView>
  </sheetViews>
  <sheetFormatPr defaultRowHeight="14.4" x14ac:dyDescent="0.3"/>
  <cols>
    <col min="1" max="1" width="16" customWidth="1"/>
    <col min="2" max="2" width="14.109375" customWidth="1"/>
    <col min="3" max="3" width="13.33203125" customWidth="1"/>
    <col min="4" max="4" width="17" customWidth="1"/>
    <col min="5" max="5" width="24.33203125" customWidth="1"/>
    <col min="6" max="6" width="15.5546875" bestFit="1" customWidth="1"/>
    <col min="7" max="7" width="22" customWidth="1"/>
    <col min="8" max="8" width="25.88671875" customWidth="1"/>
    <col min="9" max="9" width="15.5546875" bestFit="1" customWidth="1"/>
    <col min="10" max="10" width="18.6640625" customWidth="1"/>
    <col min="11" max="11" width="25.44140625" customWidth="1"/>
    <col min="12" max="24" width="15.5546875" bestFit="1" customWidth="1"/>
    <col min="25" max="25" width="10.77734375" bestFit="1" customWidth="1"/>
    <col min="26" max="731" width="15.5546875" bestFit="1" customWidth="1"/>
    <col min="732" max="732" width="10.77734375" bestFit="1" customWidth="1"/>
  </cols>
  <sheetData>
    <row r="3" spans="1:11" x14ac:dyDescent="0.3">
      <c r="A3" t="s">
        <v>2</v>
      </c>
      <c r="D3" t="s">
        <v>37</v>
      </c>
      <c r="G3" t="s">
        <v>38</v>
      </c>
    </row>
    <row r="4" spans="1:11" x14ac:dyDescent="0.3">
      <c r="A4" t="s">
        <v>3</v>
      </c>
      <c r="D4" s="1" t="s">
        <v>6</v>
      </c>
      <c r="E4" t="s">
        <v>3</v>
      </c>
      <c r="G4" s="1" t="s">
        <v>6</v>
      </c>
      <c r="H4" t="s">
        <v>4</v>
      </c>
      <c r="J4" s="1" t="s">
        <v>6</v>
      </c>
      <c r="K4" t="s">
        <v>5</v>
      </c>
    </row>
    <row r="5" spans="1:11" x14ac:dyDescent="0.3">
      <c r="A5" s="2">
        <v>469</v>
      </c>
      <c r="D5" s="5" t="s">
        <v>7</v>
      </c>
      <c r="E5" s="2">
        <v>12</v>
      </c>
      <c r="G5" s="5" t="s">
        <v>7</v>
      </c>
      <c r="H5" s="3">
        <v>31.833333333333332</v>
      </c>
      <c r="J5" s="5" t="s">
        <v>8</v>
      </c>
      <c r="K5" s="3">
        <v>4.5999999999999996</v>
      </c>
    </row>
    <row r="6" spans="1:11" x14ac:dyDescent="0.3">
      <c r="D6" s="5" t="s">
        <v>8</v>
      </c>
      <c r="E6" s="2">
        <v>19</v>
      </c>
      <c r="G6" s="5" t="s">
        <v>8</v>
      </c>
      <c r="H6" s="3">
        <v>39.368421052631582</v>
      </c>
      <c r="J6" s="5" t="s">
        <v>9</v>
      </c>
      <c r="K6" s="3">
        <v>4.5999999999999996</v>
      </c>
    </row>
    <row r="7" spans="1:11" x14ac:dyDescent="0.3">
      <c r="D7" s="5" t="s">
        <v>9</v>
      </c>
      <c r="E7" s="2">
        <v>17</v>
      </c>
      <c r="G7" s="5" t="s">
        <v>9</v>
      </c>
      <c r="H7" s="3">
        <v>32.352941176470587</v>
      </c>
      <c r="J7" s="5" t="s">
        <v>10</v>
      </c>
      <c r="K7" s="3">
        <v>5.666666666666667</v>
      </c>
    </row>
    <row r="8" spans="1:11" x14ac:dyDescent="0.3">
      <c r="A8" t="s">
        <v>4</v>
      </c>
      <c r="D8" s="5" t="s">
        <v>10</v>
      </c>
      <c r="E8" s="2">
        <v>20</v>
      </c>
      <c r="G8" s="5" t="s">
        <v>10</v>
      </c>
      <c r="H8" s="3">
        <v>34.049999999999997</v>
      </c>
      <c r="J8" s="5" t="s">
        <v>11</v>
      </c>
      <c r="K8" s="3">
        <v>3.4</v>
      </c>
    </row>
    <row r="9" spans="1:11" x14ac:dyDescent="0.3">
      <c r="A9" s="3">
        <v>35.044776119402982</v>
      </c>
      <c r="D9" s="5" t="s">
        <v>11</v>
      </c>
      <c r="E9" s="2">
        <v>15</v>
      </c>
      <c r="G9" s="5" t="s">
        <v>11</v>
      </c>
      <c r="H9" s="3">
        <v>31.8</v>
      </c>
      <c r="J9" s="5" t="s">
        <v>12</v>
      </c>
      <c r="K9" s="3">
        <v>4.333333333333333</v>
      </c>
    </row>
    <row r="10" spans="1:11" x14ac:dyDescent="0.3">
      <c r="D10" s="5" t="s">
        <v>12</v>
      </c>
      <c r="E10" s="2">
        <v>17</v>
      </c>
      <c r="G10" s="5" t="s">
        <v>12</v>
      </c>
      <c r="H10" s="3">
        <v>37.823529411764703</v>
      </c>
      <c r="J10" s="5" t="s">
        <v>13</v>
      </c>
      <c r="K10" s="3">
        <v>4.4000000000000004</v>
      </c>
    </row>
    <row r="11" spans="1:11" x14ac:dyDescent="0.3">
      <c r="A11" t="s">
        <v>5</v>
      </c>
      <c r="D11" s="5" t="s">
        <v>13</v>
      </c>
      <c r="E11" s="2">
        <v>16</v>
      </c>
      <c r="G11" s="5" t="s">
        <v>13</v>
      </c>
      <c r="H11" s="3">
        <v>31.875</v>
      </c>
      <c r="J11" s="5" t="s">
        <v>14</v>
      </c>
      <c r="K11" s="3">
        <v>4.25</v>
      </c>
    </row>
    <row r="12" spans="1:11" x14ac:dyDescent="0.3">
      <c r="A12" s="3">
        <v>4.6269841269841274</v>
      </c>
      <c r="D12" s="5" t="s">
        <v>14</v>
      </c>
      <c r="E12" s="2">
        <v>10</v>
      </c>
      <c r="G12" s="5" t="s">
        <v>14</v>
      </c>
      <c r="H12" s="3">
        <v>27.3</v>
      </c>
      <c r="J12" s="5" t="s">
        <v>15</v>
      </c>
      <c r="K12" s="3">
        <v>4.5999999999999996</v>
      </c>
    </row>
    <row r="13" spans="1:11" x14ac:dyDescent="0.3">
      <c r="D13" s="5" t="s">
        <v>15</v>
      </c>
      <c r="E13" s="2">
        <v>15</v>
      </c>
      <c r="G13" s="5" t="s">
        <v>15</v>
      </c>
      <c r="H13" s="3">
        <v>31.933333333333334</v>
      </c>
      <c r="J13" s="5" t="s">
        <v>17</v>
      </c>
      <c r="K13" s="3">
        <v>2.3333333333333335</v>
      </c>
    </row>
    <row r="14" spans="1:11" x14ac:dyDescent="0.3">
      <c r="D14" s="5" t="s">
        <v>16</v>
      </c>
      <c r="E14" s="2">
        <v>14</v>
      </c>
      <c r="G14" s="5" t="s">
        <v>16</v>
      </c>
      <c r="H14" s="3">
        <v>30.5</v>
      </c>
      <c r="J14" s="5" t="s">
        <v>18</v>
      </c>
      <c r="K14" s="3">
        <v>9</v>
      </c>
    </row>
    <row r="15" spans="1:11" x14ac:dyDescent="0.3">
      <c r="D15" s="5" t="s">
        <v>17</v>
      </c>
      <c r="E15" s="2">
        <v>16</v>
      </c>
      <c r="G15" s="5" t="s">
        <v>17</v>
      </c>
      <c r="H15" s="3">
        <v>38.0625</v>
      </c>
      <c r="J15" s="5" t="s">
        <v>19</v>
      </c>
      <c r="K15" s="3">
        <v>2.75</v>
      </c>
    </row>
    <row r="16" spans="1:11" x14ac:dyDescent="0.3">
      <c r="D16" s="5" t="s">
        <v>18</v>
      </c>
      <c r="E16" s="2">
        <v>12</v>
      </c>
      <c r="G16" s="5" t="s">
        <v>18</v>
      </c>
      <c r="H16" s="3">
        <v>36.333333333333336</v>
      </c>
      <c r="J16" s="5" t="s">
        <v>20</v>
      </c>
      <c r="K16" s="3">
        <v>6.8888888888888893</v>
      </c>
    </row>
    <row r="17" spans="4:11" x14ac:dyDescent="0.3">
      <c r="D17" s="5" t="s">
        <v>19</v>
      </c>
      <c r="E17" s="2">
        <v>12</v>
      </c>
      <c r="G17" s="5" t="s">
        <v>19</v>
      </c>
      <c r="H17" s="3">
        <v>27</v>
      </c>
      <c r="J17" s="5" t="s">
        <v>21</v>
      </c>
      <c r="K17" s="3">
        <v>5</v>
      </c>
    </row>
    <row r="18" spans="4:11" x14ac:dyDescent="0.3">
      <c r="D18" s="5" t="s">
        <v>20</v>
      </c>
      <c r="E18" s="2">
        <v>13</v>
      </c>
      <c r="G18" s="5" t="s">
        <v>20</v>
      </c>
      <c r="H18" s="3">
        <v>37.46153846153846</v>
      </c>
      <c r="J18" s="5" t="s">
        <v>22</v>
      </c>
      <c r="K18" s="3">
        <v>4.166666666666667</v>
      </c>
    </row>
    <row r="19" spans="4:11" x14ac:dyDescent="0.3">
      <c r="D19" s="5" t="s">
        <v>21</v>
      </c>
      <c r="E19" s="2">
        <v>20</v>
      </c>
      <c r="G19" s="5" t="s">
        <v>21</v>
      </c>
      <c r="H19" s="3">
        <v>39.25</v>
      </c>
      <c r="J19" s="5" t="s">
        <v>23</v>
      </c>
      <c r="K19" s="3">
        <v>2.5</v>
      </c>
    </row>
    <row r="20" spans="4:11" x14ac:dyDescent="0.3">
      <c r="D20" s="5" t="s">
        <v>22</v>
      </c>
      <c r="E20" s="2">
        <v>17</v>
      </c>
      <c r="G20" s="5" t="s">
        <v>22</v>
      </c>
      <c r="H20" s="3">
        <v>33.647058823529413</v>
      </c>
      <c r="J20" s="5" t="s">
        <v>24</v>
      </c>
      <c r="K20" s="3">
        <v>6</v>
      </c>
    </row>
    <row r="21" spans="4:11" x14ac:dyDescent="0.3">
      <c r="D21" s="5" t="s">
        <v>23</v>
      </c>
      <c r="E21" s="2">
        <v>10</v>
      </c>
      <c r="G21" s="5" t="s">
        <v>23</v>
      </c>
      <c r="H21" s="3">
        <v>42.2</v>
      </c>
      <c r="J21" s="5" t="s">
        <v>25</v>
      </c>
      <c r="K21" s="3">
        <v>3.8</v>
      </c>
    </row>
    <row r="22" spans="4:11" x14ac:dyDescent="0.3">
      <c r="D22" s="5" t="s">
        <v>24</v>
      </c>
      <c r="E22" s="2">
        <v>16</v>
      </c>
      <c r="G22" s="5" t="s">
        <v>24</v>
      </c>
      <c r="H22" s="3">
        <v>33.3125</v>
      </c>
      <c r="J22" s="5" t="s">
        <v>26</v>
      </c>
      <c r="K22" s="3">
        <v>3.6</v>
      </c>
    </row>
    <row r="23" spans="4:11" x14ac:dyDescent="0.3">
      <c r="D23" s="5" t="s">
        <v>25</v>
      </c>
      <c r="E23" s="2">
        <v>13</v>
      </c>
      <c r="G23" s="5" t="s">
        <v>25</v>
      </c>
      <c r="H23" s="3">
        <v>25.76923076923077</v>
      </c>
      <c r="J23" s="5" t="s">
        <v>28</v>
      </c>
      <c r="K23" s="3">
        <v>5.8571428571428568</v>
      </c>
    </row>
    <row r="24" spans="4:11" x14ac:dyDescent="0.3">
      <c r="D24" s="5" t="s">
        <v>26</v>
      </c>
      <c r="E24" s="2">
        <v>16</v>
      </c>
      <c r="G24" s="5" t="s">
        <v>26</v>
      </c>
      <c r="H24" s="3">
        <v>37.125</v>
      </c>
      <c r="J24" s="5" t="s">
        <v>29</v>
      </c>
      <c r="K24" s="3">
        <v>6.25</v>
      </c>
    </row>
    <row r="25" spans="4:11" x14ac:dyDescent="0.3">
      <c r="D25" s="5" t="s">
        <v>27</v>
      </c>
      <c r="E25" s="2">
        <v>18</v>
      </c>
      <c r="G25" s="5" t="s">
        <v>27</v>
      </c>
      <c r="H25" s="3">
        <v>37</v>
      </c>
      <c r="J25" s="5" t="s">
        <v>30</v>
      </c>
      <c r="K25" s="3">
        <v>4.666666666666667</v>
      </c>
    </row>
    <row r="26" spans="4:11" x14ac:dyDescent="0.3">
      <c r="D26" s="5" t="s">
        <v>28</v>
      </c>
      <c r="E26" s="2">
        <v>21</v>
      </c>
      <c r="G26" s="5" t="s">
        <v>28</v>
      </c>
      <c r="H26" s="3">
        <v>36.80952380952381</v>
      </c>
      <c r="J26" s="5" t="s">
        <v>31</v>
      </c>
      <c r="K26" s="3">
        <v>0</v>
      </c>
    </row>
    <row r="27" spans="4:11" x14ac:dyDescent="0.3">
      <c r="D27" s="5" t="s">
        <v>29</v>
      </c>
      <c r="E27" s="2">
        <v>15</v>
      </c>
      <c r="G27" s="5" t="s">
        <v>29</v>
      </c>
      <c r="H27" s="3">
        <v>39.799999999999997</v>
      </c>
      <c r="J27" s="5" t="s">
        <v>32</v>
      </c>
      <c r="K27" s="3">
        <v>4.666666666666667</v>
      </c>
    </row>
    <row r="28" spans="4:11" x14ac:dyDescent="0.3">
      <c r="D28" s="5" t="s">
        <v>30</v>
      </c>
      <c r="E28" s="2">
        <v>18</v>
      </c>
      <c r="G28" s="5" t="s">
        <v>30</v>
      </c>
      <c r="H28" s="3">
        <v>38</v>
      </c>
      <c r="J28" s="5" t="s">
        <v>33</v>
      </c>
      <c r="K28" s="3">
        <v>2.8</v>
      </c>
    </row>
    <row r="29" spans="4:11" x14ac:dyDescent="0.3">
      <c r="D29" s="5" t="s">
        <v>31</v>
      </c>
      <c r="E29" s="2">
        <v>15</v>
      </c>
      <c r="G29" s="5" t="s">
        <v>31</v>
      </c>
      <c r="H29" s="3">
        <v>36.133333333333333</v>
      </c>
      <c r="J29" s="5" t="s">
        <v>34</v>
      </c>
      <c r="K29" s="3">
        <v>4.2</v>
      </c>
    </row>
    <row r="30" spans="4:11" x14ac:dyDescent="0.3">
      <c r="D30" s="5" t="s">
        <v>32</v>
      </c>
      <c r="E30" s="2">
        <v>18</v>
      </c>
      <c r="G30" s="5" t="s">
        <v>32</v>
      </c>
      <c r="H30" s="3">
        <v>36.555555555555557</v>
      </c>
      <c r="J30" s="5" t="s">
        <v>35</v>
      </c>
      <c r="K30" s="3">
        <v>2.5</v>
      </c>
    </row>
    <row r="31" spans="4:11" x14ac:dyDescent="0.3">
      <c r="D31" s="5" t="s">
        <v>33</v>
      </c>
      <c r="E31" s="2">
        <v>19</v>
      </c>
      <c r="G31" s="5" t="s">
        <v>33</v>
      </c>
      <c r="H31" s="3">
        <v>39.210526315789473</v>
      </c>
      <c r="J31" s="5" t="s">
        <v>36</v>
      </c>
      <c r="K31" s="3">
        <v>5</v>
      </c>
    </row>
    <row r="32" spans="4:11" x14ac:dyDescent="0.3">
      <c r="D32" s="5" t="s">
        <v>34</v>
      </c>
      <c r="E32" s="2">
        <v>16</v>
      </c>
      <c r="G32" s="5" t="s">
        <v>34</v>
      </c>
      <c r="H32" s="3">
        <v>31.1875</v>
      </c>
      <c r="J32" s="5" t="s">
        <v>0</v>
      </c>
      <c r="K32" s="3">
        <v>4.6269841269841274</v>
      </c>
    </row>
    <row r="33" spans="1:8" x14ac:dyDescent="0.3">
      <c r="D33" s="5" t="s">
        <v>35</v>
      </c>
      <c r="E33" s="2">
        <v>13</v>
      </c>
      <c r="G33" s="5" t="s">
        <v>35</v>
      </c>
      <c r="H33" s="3">
        <v>35.153846153846153</v>
      </c>
    </row>
    <row r="34" spans="1:8" x14ac:dyDescent="0.3">
      <c r="D34" s="5" t="s">
        <v>36</v>
      </c>
      <c r="E34" s="2">
        <v>16</v>
      </c>
      <c r="G34" s="5" t="s">
        <v>36</v>
      </c>
      <c r="H34" s="3">
        <v>34.25</v>
      </c>
    </row>
    <row r="35" spans="1:8" x14ac:dyDescent="0.3">
      <c r="D35" s="5" t="s">
        <v>0</v>
      </c>
      <c r="E35" s="2">
        <v>469</v>
      </c>
      <c r="G35" s="5" t="s">
        <v>0</v>
      </c>
      <c r="H35" s="3">
        <v>35.044776119402982</v>
      </c>
    </row>
    <row r="44" spans="1:8" x14ac:dyDescent="0.3">
      <c r="A44" s="1" t="s">
        <v>6</v>
      </c>
      <c r="B44" t="s">
        <v>39</v>
      </c>
      <c r="C44" t="s">
        <v>43</v>
      </c>
    </row>
    <row r="45" spans="1:8" x14ac:dyDescent="0.3">
      <c r="A45" s="5" t="s">
        <v>41</v>
      </c>
      <c r="B45" s="3">
        <v>217</v>
      </c>
      <c r="C45" s="6">
        <v>0.46268656716417911</v>
      </c>
    </row>
    <row r="46" spans="1:8" x14ac:dyDescent="0.3">
      <c r="A46" s="5" t="s">
        <v>42</v>
      </c>
      <c r="B46" s="3">
        <v>252</v>
      </c>
      <c r="C46" s="6">
        <v>0.53731343283582089</v>
      </c>
    </row>
    <row r="47" spans="1:8" x14ac:dyDescent="0.3">
      <c r="A47" s="5" t="s">
        <v>0</v>
      </c>
      <c r="B47" s="3">
        <v>469</v>
      </c>
      <c r="C47" s="6">
        <v>1</v>
      </c>
    </row>
    <row r="52" spans="1:4" x14ac:dyDescent="0.3">
      <c r="A52" s="9" t="s">
        <v>44</v>
      </c>
      <c r="B52" s="9" t="s">
        <v>45</v>
      </c>
      <c r="C52" s="9" t="s">
        <v>46</v>
      </c>
      <c r="D52" s="8"/>
    </row>
    <row r="53" spans="1:4" x14ac:dyDescent="0.3">
      <c r="A53" s="10" t="str">
        <f>A46</f>
        <v>Not Admitted</v>
      </c>
      <c r="B53" s="10">
        <f>B46</f>
        <v>252</v>
      </c>
      <c r="C53" s="11">
        <f>C46</f>
        <v>0.53731343283582089</v>
      </c>
      <c r="D53" s="7"/>
    </row>
    <row r="54" spans="1:4" x14ac:dyDescent="0.3">
      <c r="A54" s="10" t="str">
        <f>A45</f>
        <v>Admitted</v>
      </c>
      <c r="B54" s="10">
        <f>B45</f>
        <v>217</v>
      </c>
      <c r="C54" s="11">
        <f>C45</f>
        <v>0.46268656716417911</v>
      </c>
      <c r="D54" s="7"/>
    </row>
    <row r="60" spans="1:4" x14ac:dyDescent="0.3">
      <c r="A60" t="s">
        <v>56</v>
      </c>
    </row>
    <row r="61" spans="1:4" x14ac:dyDescent="0.3">
      <c r="A61" s="1" t="s">
        <v>6</v>
      </c>
      <c r="B61" t="s">
        <v>55</v>
      </c>
    </row>
    <row r="62" spans="1:4" x14ac:dyDescent="0.3">
      <c r="A62" s="5" t="s">
        <v>47</v>
      </c>
      <c r="B62" s="12">
        <v>59</v>
      </c>
    </row>
    <row r="63" spans="1:4" x14ac:dyDescent="0.3">
      <c r="A63" s="5" t="s">
        <v>48</v>
      </c>
      <c r="B63" s="12">
        <v>57</v>
      </c>
    </row>
    <row r="64" spans="1:4" x14ac:dyDescent="0.3">
      <c r="A64" s="5" t="s">
        <v>49</v>
      </c>
      <c r="B64" s="12">
        <v>69</v>
      </c>
    </row>
    <row r="65" spans="1:2" x14ac:dyDescent="0.3">
      <c r="A65" s="5" t="s">
        <v>50</v>
      </c>
      <c r="B65" s="12">
        <v>62</v>
      </c>
    </row>
    <row r="66" spans="1:2" x14ac:dyDescent="0.3">
      <c r="A66" s="5" t="s">
        <v>51</v>
      </c>
      <c r="B66" s="12">
        <v>54</v>
      </c>
    </row>
    <row r="67" spans="1:2" x14ac:dyDescent="0.3">
      <c r="A67" s="5" t="s">
        <v>52</v>
      </c>
      <c r="B67" s="12">
        <v>57</v>
      </c>
    </row>
    <row r="68" spans="1:2" x14ac:dyDescent="0.3">
      <c r="A68" s="5" t="s">
        <v>53</v>
      </c>
      <c r="B68" s="12">
        <v>54</v>
      </c>
    </row>
    <row r="69" spans="1:2" x14ac:dyDescent="0.3">
      <c r="A69" s="5" t="s">
        <v>54</v>
      </c>
      <c r="B69" s="12">
        <v>57</v>
      </c>
    </row>
    <row r="70" spans="1:2" x14ac:dyDescent="0.3">
      <c r="A70" s="5" t="s">
        <v>0</v>
      </c>
      <c r="B70" s="12">
        <v>469</v>
      </c>
    </row>
    <row r="77" spans="1:2" x14ac:dyDescent="0.3">
      <c r="A77" t="s">
        <v>59</v>
      </c>
    </row>
    <row r="78" spans="1:2" x14ac:dyDescent="0.3">
      <c r="A78" s="1" t="s">
        <v>6</v>
      </c>
      <c r="B78" t="s">
        <v>40</v>
      </c>
    </row>
    <row r="79" spans="1:2" x14ac:dyDescent="0.3">
      <c r="A79" s="5" t="s">
        <v>57</v>
      </c>
      <c r="B79" s="12">
        <v>268</v>
      </c>
    </row>
    <row r="80" spans="1:2" x14ac:dyDescent="0.3">
      <c r="A80" s="5" t="s">
        <v>58</v>
      </c>
      <c r="B80" s="12">
        <v>201</v>
      </c>
    </row>
    <row r="81" spans="1:2" x14ac:dyDescent="0.3">
      <c r="A81" s="5" t="s">
        <v>0</v>
      </c>
      <c r="B81" s="12">
        <v>469</v>
      </c>
    </row>
    <row r="85" spans="1:2" x14ac:dyDescent="0.3">
      <c r="A85" t="s">
        <v>63</v>
      </c>
    </row>
    <row r="86" spans="1:2" x14ac:dyDescent="0.3">
      <c r="A86" s="1" t="s">
        <v>6</v>
      </c>
      <c r="B86" t="s">
        <v>62</v>
      </c>
    </row>
    <row r="87" spans="1:2" x14ac:dyDescent="0.3">
      <c r="A87" s="5" t="s">
        <v>60</v>
      </c>
      <c r="B87" s="12">
        <v>241</v>
      </c>
    </row>
    <row r="88" spans="1:2" x14ac:dyDescent="0.3">
      <c r="A88" s="5" t="s">
        <v>61</v>
      </c>
      <c r="B88" s="12">
        <v>228</v>
      </c>
    </row>
    <row r="89" spans="1:2" x14ac:dyDescent="0.3">
      <c r="A89" s="5" t="s">
        <v>0</v>
      </c>
      <c r="B89" s="12">
        <v>469</v>
      </c>
    </row>
    <row r="93" spans="1:2" x14ac:dyDescent="0.3">
      <c r="A93" t="s">
        <v>64</v>
      </c>
    </row>
    <row r="94" spans="1:2" x14ac:dyDescent="0.3">
      <c r="A94" s="1" t="s">
        <v>6</v>
      </c>
      <c r="B94" t="s">
        <v>73</v>
      </c>
    </row>
    <row r="95" spans="1:2" x14ac:dyDescent="0.3">
      <c r="A95" s="5" t="s">
        <v>72</v>
      </c>
      <c r="B95" s="12">
        <v>3</v>
      </c>
    </row>
    <row r="96" spans="1:2" x14ac:dyDescent="0.3">
      <c r="A96" s="5" t="s">
        <v>66</v>
      </c>
      <c r="B96" s="12">
        <v>8</v>
      </c>
    </row>
    <row r="97" spans="1:2" x14ac:dyDescent="0.3">
      <c r="A97" s="5" t="s">
        <v>68</v>
      </c>
      <c r="B97" s="12">
        <v>10</v>
      </c>
    </row>
    <row r="98" spans="1:2" x14ac:dyDescent="0.3">
      <c r="A98" s="5" t="s">
        <v>65</v>
      </c>
      <c r="B98" s="12">
        <v>13</v>
      </c>
    </row>
    <row r="99" spans="1:2" x14ac:dyDescent="0.3">
      <c r="A99" s="5" t="s">
        <v>71</v>
      </c>
      <c r="B99" s="12">
        <v>15</v>
      </c>
    </row>
    <row r="100" spans="1:2" x14ac:dyDescent="0.3">
      <c r="A100" s="5" t="s">
        <v>70</v>
      </c>
      <c r="B100" s="12">
        <v>44</v>
      </c>
    </row>
    <row r="101" spans="1:2" x14ac:dyDescent="0.3">
      <c r="A101" s="5" t="s">
        <v>67</v>
      </c>
      <c r="B101" s="12">
        <v>92</v>
      </c>
    </row>
    <row r="102" spans="1:2" x14ac:dyDescent="0.3">
      <c r="A102" s="5" t="s">
        <v>69</v>
      </c>
      <c r="B102" s="12">
        <v>284</v>
      </c>
    </row>
    <row r="103" spans="1:2" x14ac:dyDescent="0.3">
      <c r="A103" s="5" t="s">
        <v>0</v>
      </c>
      <c r="B103" s="12">
        <v>469</v>
      </c>
    </row>
    <row r="108" spans="1:2" x14ac:dyDescent="0.3">
      <c r="A108" s="1" t="s">
        <v>6</v>
      </c>
    </row>
    <row r="109" spans="1:2" x14ac:dyDescent="0.3">
      <c r="A109" s="5" t="s">
        <v>1</v>
      </c>
    </row>
    <row r="110" spans="1:2" x14ac:dyDescent="0.3">
      <c r="A110" s="5" t="s">
        <v>0</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6761-C361-46AF-94AC-6ADEA885FDFA}">
  <dimension ref="A1:M17"/>
  <sheetViews>
    <sheetView tabSelected="1" zoomScale="174" zoomScaleNormal="174" workbookViewId="0">
      <selection activeCell="M8" sqref="M8"/>
    </sheetView>
  </sheetViews>
  <sheetFormatPr defaultRowHeight="14.4" x14ac:dyDescent="0.3"/>
  <sheetData>
    <row r="1" spans="1:13" x14ac:dyDescent="0.3">
      <c r="A1" s="4"/>
      <c r="B1" s="4"/>
      <c r="C1" s="4"/>
      <c r="D1" s="4"/>
      <c r="E1" s="4"/>
      <c r="F1" s="4"/>
      <c r="G1" s="4"/>
      <c r="H1" s="4"/>
      <c r="I1" s="4"/>
      <c r="J1" s="4"/>
      <c r="K1" s="4"/>
      <c r="L1" s="4"/>
      <c r="M1" s="4"/>
    </row>
    <row r="2" spans="1:13" x14ac:dyDescent="0.3">
      <c r="A2" s="4"/>
      <c r="B2" s="4"/>
      <c r="C2" s="4"/>
      <c r="D2" s="4"/>
      <c r="E2" s="4"/>
      <c r="F2" s="4"/>
      <c r="G2" s="4"/>
      <c r="H2" s="4"/>
      <c r="I2" s="4"/>
      <c r="J2" s="4"/>
      <c r="K2" s="4"/>
      <c r="L2" s="4"/>
      <c r="M2" s="4"/>
    </row>
    <row r="3" spans="1:13" x14ac:dyDescent="0.3">
      <c r="A3" s="4"/>
      <c r="B3" s="4"/>
      <c r="C3" s="4"/>
      <c r="D3" s="4"/>
      <c r="E3" s="4"/>
      <c r="F3" s="4"/>
      <c r="G3" s="4"/>
      <c r="H3" s="4"/>
      <c r="I3" s="4"/>
      <c r="J3" s="4"/>
      <c r="K3" s="4"/>
      <c r="L3" s="4"/>
      <c r="M3" s="4"/>
    </row>
    <row r="4" spans="1:13" x14ac:dyDescent="0.3">
      <c r="A4" s="4"/>
      <c r="B4" s="4"/>
      <c r="C4" s="4"/>
      <c r="D4" s="4"/>
      <c r="E4" s="4"/>
      <c r="F4" s="4"/>
      <c r="G4" s="4"/>
      <c r="H4" s="4"/>
      <c r="I4" s="4"/>
      <c r="J4" s="4"/>
      <c r="K4" s="4"/>
      <c r="L4" s="4"/>
      <c r="M4" s="4"/>
    </row>
    <row r="5" spans="1:13" x14ac:dyDescent="0.3">
      <c r="A5" s="4"/>
      <c r="B5" s="4"/>
      <c r="C5" s="4"/>
      <c r="D5" s="4"/>
      <c r="E5" s="4"/>
      <c r="F5" s="4"/>
      <c r="G5" s="4"/>
      <c r="H5" s="4"/>
      <c r="I5" s="4"/>
      <c r="J5" s="4"/>
      <c r="K5" s="4"/>
      <c r="L5" s="4"/>
      <c r="M5" s="4"/>
    </row>
    <row r="6" spans="1:13" x14ac:dyDescent="0.3">
      <c r="A6" s="4"/>
      <c r="B6" s="4"/>
      <c r="C6" s="4"/>
      <c r="D6" s="4"/>
      <c r="E6" s="4"/>
      <c r="F6" s="4"/>
      <c r="G6" s="4"/>
      <c r="H6" s="4"/>
      <c r="I6" s="4"/>
      <c r="J6" s="4"/>
      <c r="K6" s="4"/>
      <c r="L6" s="4"/>
      <c r="M6" s="4"/>
    </row>
    <row r="7" spans="1:13" x14ac:dyDescent="0.3">
      <c r="A7" s="4"/>
      <c r="B7" s="4"/>
      <c r="C7" s="4"/>
      <c r="D7" s="4"/>
      <c r="E7" s="4"/>
      <c r="F7" s="4"/>
      <c r="G7" s="4"/>
      <c r="H7" s="4"/>
      <c r="I7" s="4"/>
      <c r="J7" s="4"/>
      <c r="K7" s="4"/>
      <c r="L7" s="4"/>
      <c r="M7" s="4"/>
    </row>
    <row r="8" spans="1:13" x14ac:dyDescent="0.3">
      <c r="A8" s="4"/>
      <c r="B8" s="4"/>
      <c r="C8" s="4"/>
      <c r="D8" s="4"/>
      <c r="E8" s="4"/>
      <c r="F8" s="4"/>
      <c r="G8" s="4"/>
      <c r="H8" s="4"/>
      <c r="I8" s="4"/>
      <c r="J8" s="4"/>
      <c r="K8" s="4"/>
      <c r="L8" s="4"/>
      <c r="M8" s="4"/>
    </row>
    <row r="9" spans="1:13" x14ac:dyDescent="0.3">
      <c r="A9" s="4"/>
      <c r="B9" s="4"/>
      <c r="C9" s="4"/>
      <c r="D9" s="4"/>
      <c r="E9" s="4"/>
      <c r="F9" s="4"/>
      <c r="G9" s="4"/>
      <c r="H9" s="4"/>
      <c r="I9" s="4"/>
      <c r="J9" s="4"/>
      <c r="K9" s="4"/>
      <c r="L9" s="4"/>
      <c r="M9" s="4"/>
    </row>
    <row r="10" spans="1:13" x14ac:dyDescent="0.3">
      <c r="A10" s="4"/>
      <c r="B10" s="4"/>
      <c r="C10" s="4"/>
      <c r="D10" s="4"/>
      <c r="E10" s="4"/>
      <c r="F10" s="4"/>
      <c r="G10" s="4"/>
      <c r="H10" s="4"/>
      <c r="I10" s="4"/>
      <c r="J10" s="4"/>
      <c r="K10" s="4"/>
      <c r="L10" s="4"/>
      <c r="M10" s="4"/>
    </row>
    <row r="11" spans="1:13" x14ac:dyDescent="0.3">
      <c r="A11" s="4"/>
      <c r="B11" s="4"/>
      <c r="C11" s="4"/>
      <c r="D11" s="4"/>
      <c r="E11" s="4"/>
      <c r="F11" s="4"/>
      <c r="G11" s="4"/>
      <c r="H11" s="4"/>
      <c r="I11" s="4"/>
      <c r="J11" s="4"/>
      <c r="K11" s="4"/>
      <c r="L11" s="4"/>
      <c r="M11" s="4"/>
    </row>
    <row r="12" spans="1:13" x14ac:dyDescent="0.3">
      <c r="A12" s="4"/>
      <c r="B12" s="4"/>
      <c r="C12" s="4"/>
      <c r="D12" s="4"/>
      <c r="E12" s="4"/>
      <c r="F12" s="4"/>
      <c r="G12" s="4"/>
      <c r="H12" s="4"/>
      <c r="I12" s="4"/>
      <c r="J12" s="4"/>
      <c r="K12" s="4"/>
      <c r="L12" s="4"/>
      <c r="M12" s="4"/>
    </row>
    <row r="13" spans="1:13" x14ac:dyDescent="0.3">
      <c r="A13" s="4"/>
      <c r="B13" s="4"/>
      <c r="C13" s="4"/>
      <c r="D13" s="4"/>
      <c r="E13" s="4"/>
      <c r="F13" s="4"/>
      <c r="G13" s="4"/>
      <c r="H13" s="4"/>
      <c r="I13" s="4"/>
      <c r="J13" s="4"/>
      <c r="K13" s="4"/>
      <c r="L13" s="4"/>
      <c r="M13" s="4"/>
    </row>
    <row r="14" spans="1:13" x14ac:dyDescent="0.3">
      <c r="A14" s="4"/>
      <c r="B14" s="4"/>
      <c r="C14" s="4"/>
      <c r="D14" s="4"/>
      <c r="E14" s="4"/>
      <c r="F14" s="4"/>
      <c r="G14" s="4"/>
      <c r="H14" s="4"/>
      <c r="I14" s="4"/>
      <c r="J14" s="4"/>
      <c r="K14" s="4"/>
      <c r="L14" s="4"/>
      <c r="M14" s="4"/>
    </row>
    <row r="15" spans="1:13" x14ac:dyDescent="0.3">
      <c r="A15" s="4"/>
      <c r="B15" s="4"/>
      <c r="C15" s="4"/>
      <c r="D15" s="4"/>
      <c r="E15" s="4"/>
      <c r="F15" s="4"/>
      <c r="G15" s="4"/>
      <c r="H15" s="4"/>
      <c r="I15" s="4"/>
      <c r="J15" s="4"/>
      <c r="K15" s="4"/>
      <c r="L15" s="4"/>
      <c r="M15" s="4"/>
    </row>
    <row r="16" spans="1:13" x14ac:dyDescent="0.3">
      <c r="A16" s="4"/>
      <c r="B16" s="4"/>
      <c r="C16" s="4"/>
      <c r="D16" s="4"/>
      <c r="E16" s="4"/>
      <c r="F16" s="4"/>
      <c r="G16" s="4"/>
      <c r="H16" s="4"/>
      <c r="I16" s="4"/>
      <c r="J16" s="4"/>
      <c r="K16" s="4"/>
      <c r="L16" s="4"/>
      <c r="M16" s="4"/>
    </row>
    <row r="17" spans="1:13" x14ac:dyDescent="0.3">
      <c r="A17" s="4"/>
      <c r="B17" s="4"/>
      <c r="C17" s="4"/>
      <c r="D17" s="4"/>
      <c r="E17" s="4"/>
      <c r="F17" s="4"/>
      <c r="G17" s="4"/>
      <c r="H17" s="4"/>
      <c r="I17" s="4"/>
      <c r="J17" s="4"/>
      <c r="K17" s="4"/>
      <c r="L17" s="4"/>
      <c r="M17"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E48F1-897C-4C06-8ACB-D73ECB3A806C}">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DC06E-0E0A-4110-9D67-F95C2CDC8078}">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4CA1B-66F0-4FE9-960B-ACA895B1185B}">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199FA16-9636-49D5-9EFD-F0CA01E9C954}">
  <ds:schemaRefs/>
</ds:datastoreItem>
</file>

<file path=customXml/itemProps2.xml><?xml version="1.0" encoding="utf-8"?>
<ds:datastoreItem xmlns:ds="http://schemas.openxmlformats.org/officeDocument/2006/customXml" ds:itemID="{8BE0AE0C-0810-43A4-8935-8F2B1CF210AB}">
  <ds:schemaRefs/>
</ds:datastoreItem>
</file>

<file path=customXml/itemProps3.xml><?xml version="1.0" encoding="utf-8"?>
<ds:datastoreItem xmlns:ds="http://schemas.openxmlformats.org/officeDocument/2006/customXml" ds:itemID="{29267018-67B5-466E-BC50-1B92B057E1AB}">
  <ds:schemaRefs/>
</ds:datastoreItem>
</file>

<file path=customXml/itemProps4.xml><?xml version="1.0" encoding="utf-8"?>
<ds:datastoreItem xmlns:ds="http://schemas.openxmlformats.org/officeDocument/2006/customXml" ds:itemID="{06EE6657-F795-4D6C-B7A5-3597C80FF9AA}">
  <ds:schemaRefs/>
</ds:datastoreItem>
</file>

<file path=customXml/itemProps5.xml><?xml version="1.0" encoding="utf-8"?>
<ds:datastoreItem xmlns:ds="http://schemas.openxmlformats.org/officeDocument/2006/customXml" ds:itemID="{BD9039C3-8568-4B91-9CBD-EB7B2575321B}">
  <ds:schemaRefs/>
</ds:datastoreItem>
</file>

<file path=customXml/itemProps6.xml><?xml version="1.0" encoding="utf-8"?>
<ds:datastoreItem xmlns:ds="http://schemas.openxmlformats.org/officeDocument/2006/customXml" ds:itemID="{2D33E9CC-C518-487B-8D9C-4055E4EC34A6}">
  <ds:schemaRefs/>
</ds:datastoreItem>
</file>

<file path=customXml/itemProps7.xml><?xml version="1.0" encoding="utf-8"?>
<ds:datastoreItem xmlns:ds="http://schemas.openxmlformats.org/officeDocument/2006/customXml" ds:itemID="{581C93B7-57B4-4700-B6A5-3DAF2750C3FF}">
  <ds:schemaRefs/>
</ds:datastoreItem>
</file>

<file path=customXml/itemProps8.xml><?xml version="1.0" encoding="utf-8"?>
<ds:datastoreItem xmlns:ds="http://schemas.openxmlformats.org/officeDocument/2006/customXml" ds:itemID="{780FED4C-357D-4577-BAF0-943AB1CA472E}">
  <ds:schemaRefs/>
</ds:datastoreItem>
</file>

<file path=customXml/itemProps9.xml><?xml version="1.0" encoding="utf-8"?>
<ds:datastoreItem xmlns:ds="http://schemas.openxmlformats.org/officeDocument/2006/customXml" ds:itemID="{E0A66FF7-F268-4F88-AABD-1B8E136278A3}">
  <ds:schemaRefs/>
</ds:datastoreItem>
</file>

<file path=customXml/itemProps10.xml><?xml version="1.0" encoding="utf-8"?>
<ds:datastoreItem xmlns:ds="http://schemas.openxmlformats.org/officeDocument/2006/customXml" ds:itemID="{AF61073E-A3F6-4570-893D-D232A1E14516}">
  <ds:schemaRefs/>
</ds:datastoreItem>
</file>

<file path=customXml/itemProps11.xml><?xml version="1.0" encoding="utf-8"?>
<ds:datastoreItem xmlns:ds="http://schemas.openxmlformats.org/officeDocument/2006/customXml" ds:itemID="{6488BEAE-B628-423B-A50C-81F4804D53CB}">
  <ds:schemaRefs/>
</ds:datastoreItem>
</file>

<file path=customXml/itemProps12.xml><?xml version="1.0" encoding="utf-8"?>
<ds:datastoreItem xmlns:ds="http://schemas.openxmlformats.org/officeDocument/2006/customXml" ds:itemID="{7DB13E47-C6AC-48F4-AD31-FED02BF3F79E}">
  <ds:schemaRefs/>
</ds:datastoreItem>
</file>

<file path=customXml/itemProps13.xml><?xml version="1.0" encoding="utf-8"?>
<ds:datastoreItem xmlns:ds="http://schemas.openxmlformats.org/officeDocument/2006/customXml" ds:itemID="{58139DD7-8BC7-4929-9F57-A95398EC60B5}">
  <ds:schemaRefs>
    <ds:schemaRef ds:uri="http://schemas.microsoft.com/DataMashup"/>
  </ds:schemaRefs>
</ds:datastoreItem>
</file>

<file path=customXml/itemProps14.xml><?xml version="1.0" encoding="utf-8"?>
<ds:datastoreItem xmlns:ds="http://schemas.openxmlformats.org/officeDocument/2006/customXml" ds:itemID="{423D5EEE-2360-40B0-BA5C-8CB38D275C25}">
  <ds:schemaRefs/>
</ds:datastoreItem>
</file>

<file path=customXml/itemProps15.xml><?xml version="1.0" encoding="utf-8"?>
<ds:datastoreItem xmlns:ds="http://schemas.openxmlformats.org/officeDocument/2006/customXml" ds:itemID="{62FB5AA4-C5F0-49EE-B0CA-7C0733E94E06}">
  <ds:schemaRefs/>
</ds:datastoreItem>
</file>

<file path=customXml/itemProps16.xml><?xml version="1.0" encoding="utf-8"?>
<ds:datastoreItem xmlns:ds="http://schemas.openxmlformats.org/officeDocument/2006/customXml" ds:itemID="{BEEA6266-B24E-4785-81D7-64CCE9AED72B}">
  <ds:schemaRefs/>
</ds:datastoreItem>
</file>

<file path=customXml/itemProps17.xml><?xml version="1.0" encoding="utf-8"?>
<ds:datastoreItem xmlns:ds="http://schemas.openxmlformats.org/officeDocument/2006/customXml" ds:itemID="{2DF92CCD-2810-4602-A297-A4DC681B36A6}">
  <ds:schemaRefs/>
</ds:datastoreItem>
</file>

<file path=customXml/itemProps18.xml><?xml version="1.0" encoding="utf-8"?>
<ds:datastoreItem xmlns:ds="http://schemas.openxmlformats.org/officeDocument/2006/customXml" ds:itemID="{0CC43A8C-4003-40A6-82AC-B90B337F94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patients</vt:lpstr>
      <vt:lpstr>Average waittime per day</vt:lpstr>
      <vt:lpstr>Average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singh</dc:creator>
  <cp:lastModifiedBy>shubham singh</cp:lastModifiedBy>
  <dcterms:created xsi:type="dcterms:W3CDTF">2025-12-15T05:52:50Z</dcterms:created>
  <dcterms:modified xsi:type="dcterms:W3CDTF">2025-12-15T14:18:51Z</dcterms:modified>
</cp:coreProperties>
</file>