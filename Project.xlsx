
<file path=[Content_Types].xml><?xml version="1.0" encoding="utf-8"?>
<Types xmlns="http://schemas.openxmlformats.org/package/2006/content-types">
  <Default Extension="data" ContentType="application/vnd.openxmlformats-officedocument.model+data"/>
  <Default Extension="emf" ContentType="image/x-emf"/>
  <Default Extension="png" ContentType="image/png"/>
  <Default Extension="rels" ContentType="application/vnd.openxmlformats-package.relationships+xml"/>
  <Default Extension="svg" ContentType="image/svg+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pivotCache/pivotCacheDefinition10.xml" ContentType="application/vnd.openxmlformats-officedocument.spreadsheetml.pivotCacheDefinition+xml"/>
  <Override PartName="/xl/pivotCache/pivotCacheDefinition11.xml" ContentType="application/vnd.openxmlformats-officedocument.spreadsheetml.pivotCacheDefinition+xml"/>
  <Override PartName="/xl/pivotCache/pivotCacheDefinition12.xml" ContentType="application/vnd.openxmlformats-officedocument.spreadsheetml.pivotCacheDefinition+xml"/>
  <Override PartName="/xl/pivotCache/pivotCacheDefinition13.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drawings/drawing2.xml" ContentType="application/vnd.openxmlformats-officedocument.drawing+xml"/>
  <Override PartName="/xl/slicers/slicer1.xml" ContentType="application/vnd.ms-excel.slicer+xml"/>
  <Override PartName="/xl/charts/chart2.xml" ContentType="application/vnd.openxmlformats-officedocument.drawingml.chart+xml"/>
  <Override PartName="/xl/charts/style1.xml" ContentType="application/vnd.ms-office.chartstyle+xml"/>
  <Override PartName="/xl/charts/colors1.xml" ContentType="application/vnd.ms-office.chartcolorstyle+xml"/>
  <Override PartName="/xl/charts/chart3.xml" ContentType="application/vnd.openxmlformats-officedocument.drawingml.chart+xml"/>
  <Override PartName="/xl/charts/style2.xml" ContentType="application/vnd.ms-office.chartstyle+xml"/>
  <Override PartName="/xl/charts/colors2.xml" ContentType="application/vnd.ms-office.chartcolorstyle+xml"/>
  <Override PartName="/xl/charts/chart4.xml" ContentType="application/vnd.openxmlformats-officedocument.drawingml.chart+xml"/>
  <Override PartName="/xl/charts/style3.xml" ContentType="application/vnd.ms-office.chartstyle+xml"/>
  <Override PartName="/xl/charts/colors3.xml" ContentType="application/vnd.ms-office.chartcolorstyle+xml"/>
  <Override PartName="/xl/charts/chart5.xml" ContentType="application/vnd.openxmlformats-officedocument.drawingml.chart+xml"/>
  <Override PartName="/xl/charts/style4.xml" ContentType="application/vnd.ms-office.chartstyle+xml"/>
  <Override PartName="/xl/charts/colors4.xml" ContentType="application/vnd.ms-office.chartcolorstyle+xml"/>
  <Override PartName="/xl/drawings/drawing3.xml" ContentType="application/vnd.openxmlformats-officedocument.drawingml.chartshapes+xml"/>
  <Override PartName="/xl/charts/chart6.xml" ContentType="application/vnd.openxmlformats-officedocument.drawingml.chart+xml"/>
  <Override PartName="/xl/charts/style5.xml" ContentType="application/vnd.ms-office.chartstyle+xml"/>
  <Override PartName="/xl/charts/colors5.xml" ContentType="application/vnd.ms-office.chartcolorstyle+xml"/>
  <Override PartName="/xl/charts/chart7.xml" ContentType="application/vnd.openxmlformats-officedocument.drawingml.chart+xml"/>
  <Override PartName="/xl/charts/style6.xml" ContentType="application/vnd.ms-office.chartstyle+xml"/>
  <Override PartName="/xl/charts/colors6.xml" ContentType="application/vnd.ms-office.chartcolorstyle+xml"/>
  <Override PartName="/xl/charts/chart8.xml" ContentType="application/vnd.openxmlformats-officedocument.drawingml.chart+xml"/>
  <Override PartName="/xl/charts/style7.xml" ContentType="application/vnd.ms-office.chartstyle+xml"/>
  <Override PartName="/xl/charts/colors7.xml" ContentType="application/vnd.ms-office.chartcolorstyle+xml"/>
  <Override PartName="/xl/drawings/drawing4.xml" ContentType="application/vnd.openxmlformats-officedocument.drawing+xml"/>
  <Override PartName="/xl/charts/chart9.xml" ContentType="application/vnd.openxmlformats-officedocument.drawingml.chart+xml"/>
  <Override PartName="/xl/charts/style8.xml" ContentType="application/vnd.ms-office.chartstyle+xml"/>
  <Override PartName="/xl/charts/colors8.xml" ContentType="application/vnd.ms-office.chartcolorstyle+xml"/>
  <Override PartName="/xl/drawings/drawing5.xml" ContentType="application/vnd.openxmlformats-officedocument.drawingml.chartshapes+xml"/>
  <Override PartName="/xl/drawings/drawing6.xml" ContentType="application/vnd.openxmlformats-officedocument.drawing+xml"/>
  <Override PartName="/xl/charts/chart10.xml" ContentType="application/vnd.openxmlformats-officedocument.drawingml.chart+xml"/>
  <Override PartName="/xl/charts/style9.xml" ContentType="application/vnd.ms-office.chartstyle+xml"/>
  <Override PartName="/xl/charts/colors9.xml" ContentType="application/vnd.ms-office.chartcolorstyle+xml"/>
  <Override PartName="/xl/drawings/drawing7.xml" ContentType="application/vnd.openxmlformats-officedocument.drawingml.chartshapes+xml"/>
  <Override PartName="/xl/drawings/drawing8.xml" ContentType="application/vnd.openxmlformats-officedocument.drawing+xml"/>
  <Override PartName="/xl/charts/chart11.xml" ContentType="application/vnd.openxmlformats-officedocument.drawingml.chart+xml"/>
  <Override PartName="/xl/charts/style10.xml" ContentType="application/vnd.ms-office.chartstyle+xml"/>
  <Override PartName="/xl/charts/colors10.xml" ContentType="application/vnd.ms-office.chartcolorstyle+xml"/>
  <Override PartName="/xl/drawings/drawing9.xml" ContentType="application/vnd.openxmlformats-officedocument.drawingml.chartshape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hidePivotFieldList="1" defaultThemeVersion="166925"/>
  <mc:AlternateContent xmlns:mc="http://schemas.openxmlformats.org/markup-compatibility/2006">
    <mc:Choice Requires="x15">
      <x15ac:absPath xmlns:x15ac="http://schemas.microsoft.com/office/spreadsheetml/2010/11/ac" url="D:\Project\"/>
    </mc:Choice>
  </mc:AlternateContent>
  <xr:revisionPtr revIDLastSave="0" documentId="13_ncr:1_{166D03D3-9B9D-4E63-824A-8E954EDBF6A4}" xr6:coauthVersionLast="47" xr6:coauthVersionMax="47" xr10:uidLastSave="{00000000-0000-0000-0000-000000000000}"/>
  <bookViews>
    <workbookView xWindow="-108" yWindow="-108" windowWidth="23256" windowHeight="13896" tabRatio="829" activeTab="1" xr2:uid="{F612EB6C-DD6F-4E1C-A93D-9429ABAE0F3D}"/>
  </bookViews>
  <sheets>
    <sheet name="Pivot Report" sheetId="1" r:id="rId1"/>
    <sheet name="Dashboard" sheetId="2" r:id="rId2"/>
    <sheet name="Daily ER no of patients" sheetId="3" r:id="rId3"/>
    <sheet name="Average waittime per day" sheetId="4" r:id="rId4"/>
    <sheet name="Average Satisfaction Score" sheetId="5" r:id="rId5"/>
  </sheets>
  <definedNames>
    <definedName name="Slicer_Date__Month">#N/A</definedName>
    <definedName name="Slicer_Date__Year">#N/A</definedName>
  </definedNames>
  <calcPr calcId="191029"/>
  <pivotCaches>
    <pivotCache cacheId="159" r:id="rId6"/>
    <pivotCache cacheId="162" r:id="rId7"/>
    <pivotCache cacheId="165" r:id="rId8"/>
    <pivotCache cacheId="168" r:id="rId9"/>
    <pivotCache cacheId="171" r:id="rId10"/>
    <pivotCache cacheId="174" r:id="rId11"/>
    <pivotCache cacheId="177" r:id="rId12"/>
    <pivotCache cacheId="180" r:id="rId13"/>
    <pivotCache cacheId="183" r:id="rId14"/>
    <pivotCache cacheId="186" r:id="rId15"/>
    <pivotCache cacheId="189" r:id="rId16"/>
    <pivotCache cacheId="192" r:id="rId17"/>
  </pivotCaches>
  <extLst>
    <ext xmlns:x14="http://schemas.microsoft.com/office/spreadsheetml/2009/9/main" uri="{876F7934-8845-4945-9796-88D515C7AA90}">
      <x14:pivotCaches>
        <pivotCache cacheId="12" r:id="rId18"/>
      </x14:pivotCaches>
    </ext>
    <ext xmlns:x14="http://schemas.microsoft.com/office/spreadsheetml/2009/9/main" uri="{BBE1A952-AA13-448e-AADC-164F8A28A991}">
      <x14:slicerCaches>
        <x14:slicerCache r:id="rId19"/>
        <x14:slicerCache r:id="rId20"/>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Hospital Emergency Room Data_9d359865-d44f-4f9a-84d6-530576fc7890" name="Hospital Emergency Room Data" connection="Query - Hospital Emergency Room Data"/>
          <x15:modelTable id="Calender_Table_b0130235-bc62-4294-9f77-4ef928d1300d" name="Calender_Table" connection="Query - Calender_Table"/>
        </x15:modelTables>
        <x15:modelRelationships>
          <x15:modelRelationship fromTable="Hospital Emergency Room Data" fromColumn="Patient Admission Date" toTable="Calender_Table" toColumn="Date"/>
        </x15:modelRelationships>
        <x15:extLst>
          <ext xmlns:x16="http://schemas.microsoft.com/office/spreadsheetml/2014/11/main" uri="{9835A34E-60A6-4A7C-AAB8-D5F71C897F49}">
            <x16:modelTimeGroupings>
              <x16:modelTimeGrouping tableName="Calender_Table" columnName="Date" columnId="Date">
                <x16:calculatedTimeColumn columnName="Date (Year)" columnId="Date (Year)" contentType="years" isSelected="1"/>
                <x16:calculatedTimeColumn columnName="Date (Quarter)" columnId="Date (Quarter)" contentType="quarters" isSelected="1"/>
                <x16:calculatedTimeColumn columnName="Date (Month Index)" columnId="Date (Month Index)" contentType="monthsindex" isSelected="1"/>
                <x16:calculatedTimeColumn columnName="Date (Month)" columnId="Date (Month)" contentType="months" isSelected="1"/>
                <x16:calculatedTimeColumn columnName="Date (Day Index)" columnId="Date (Day Index)" contentType="daysindex" isSelected="0"/>
                <x16:calculatedTimeColumn columnName="Date (Day)" columnId="Date (Day)" contentType="days" isSelected="0"/>
              </x16:modelTimeGrouping>
            </x16:modelTimeGroupings>
          </ext>
        </x15:extLst>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53" i="1" l="1"/>
  <c r="B53" i="1"/>
  <c r="C53" i="1"/>
  <c r="B54" i="1"/>
  <c r="C54" i="1"/>
  <c r="A54"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D4DFD7CC-D7D7-4549-9C90-5FA9FC058D69}" name="Query - Calender_Table" description="Connection to the 'Calender_Table' query in the workbook." type="100" refreshedVersion="8" minRefreshableVersion="5">
    <extLst>
      <ext xmlns:x15="http://schemas.microsoft.com/office/spreadsheetml/2010/11/main" uri="{DE250136-89BD-433C-8126-D09CA5730AF9}">
        <x15:connection id="63fbc9e2-8746-442a-867e-f7495a0bfd75"/>
      </ext>
    </extLst>
  </connection>
  <connection id="2" xr16:uid="{4E40B4DE-1951-49B7-BCC1-3ED4781EFB86}" name="Query - Hospital Emergency Room Data" description="Connection to the 'Hospital Emergency Room Data' query in the workbook." type="100" refreshedVersion="8" minRefreshableVersion="5">
    <extLst>
      <ext xmlns:x15="http://schemas.microsoft.com/office/spreadsheetml/2010/11/main" uri="{DE250136-89BD-433C-8126-D09CA5730AF9}">
        <x15:connection id="a46db215-5bf3-4023-b274-5efc419a39e6"/>
      </ext>
    </extLst>
  </connection>
  <connection id="3" xr16:uid="{3BA7FA04-2059-4FE3-97C8-9F820428704B}" keepAlive="1" name="ThisWorkbookDataModel" description="Data Model" type="5" refreshedVersion="8" minRefreshableVersion="5">
    <dbPr connection="Data Model Connection" command="Model" commandType="1"/>
    <olapPr sendLocale="1" rowDrillCount="1000"/>
    <extLst>
      <ext xmlns:x15="http://schemas.microsoft.com/office/spreadsheetml/2010/11/main" uri="{DE250136-89BD-433C-8126-D09CA5730AF9}">
        <x15:connection id="" model="1"/>
      </ext>
    </extLst>
  </connection>
</connections>
</file>

<file path=xl/sharedStrings.xml><?xml version="1.0" encoding="utf-8"?>
<sst xmlns="http://schemas.openxmlformats.org/spreadsheetml/2006/main" count="153" uniqueCount="74">
  <si>
    <t>Grand Total</t>
  </si>
  <si>
    <t>2024</t>
  </si>
  <si>
    <t>No.of Patients</t>
  </si>
  <si>
    <t>Distinct Count of Patient Id</t>
  </si>
  <si>
    <t>Average of Patient Waittime</t>
  </si>
  <si>
    <t>Average of Patient Satisfaction Score</t>
  </si>
  <si>
    <t>Row Labels</t>
  </si>
  <si>
    <t>Daily trends of no of patients</t>
  </si>
  <si>
    <t>Average Wait time</t>
  </si>
  <si>
    <t>Count of Patient Admission Flag</t>
  </si>
  <si>
    <t>Count of Patient Attend Status</t>
  </si>
  <si>
    <t>Admitted</t>
  </si>
  <si>
    <t>Not Admitted</t>
  </si>
  <si>
    <t>Count of Patient Admission Flag2</t>
  </si>
  <si>
    <t>Admission Status</t>
  </si>
  <si>
    <t>No of Patients</t>
  </si>
  <si>
    <t>% Status</t>
  </si>
  <si>
    <t>0-9</t>
  </si>
  <si>
    <t>10-19</t>
  </si>
  <si>
    <t>20-29</t>
  </si>
  <si>
    <t>30-39</t>
  </si>
  <si>
    <t>40-49</t>
  </si>
  <si>
    <t>50-59</t>
  </si>
  <si>
    <t>60-69</t>
  </si>
  <si>
    <t>70-79</t>
  </si>
  <si>
    <t>Count of Age-Group</t>
  </si>
  <si>
    <t>Agr Group wise analysis</t>
  </si>
  <si>
    <t>Delay</t>
  </si>
  <si>
    <t>Ontime</t>
  </si>
  <si>
    <t>Attend Status</t>
  </si>
  <si>
    <t>Female</t>
  </si>
  <si>
    <t>Male</t>
  </si>
  <si>
    <t>Count of Patient Gender</t>
  </si>
  <si>
    <t>Gender Wise</t>
  </si>
  <si>
    <t>Department wise referall</t>
  </si>
  <si>
    <t>Cardiology</t>
  </si>
  <si>
    <t>Gastroenterology</t>
  </si>
  <si>
    <t>General Practice</t>
  </si>
  <si>
    <t>Neurology</t>
  </si>
  <si>
    <t>None</t>
  </si>
  <si>
    <t>Orthopedics</t>
  </si>
  <si>
    <t>Physiotherapy</t>
  </si>
  <si>
    <t>Renal</t>
  </si>
  <si>
    <t>Count of Department Referral</t>
  </si>
  <si>
    <t>1-Jun</t>
  </si>
  <si>
    <t>2-Jun</t>
  </si>
  <si>
    <t>3-Jun</t>
  </si>
  <si>
    <t>4-Jun</t>
  </si>
  <si>
    <t>5-Jun</t>
  </si>
  <si>
    <t>6-Jun</t>
  </si>
  <si>
    <t>7-Jun</t>
  </si>
  <si>
    <t>8-Jun</t>
  </si>
  <si>
    <t>9-Jun</t>
  </si>
  <si>
    <t>10-Jun</t>
  </si>
  <si>
    <t>11-Jun</t>
  </si>
  <si>
    <t>12-Jun</t>
  </si>
  <si>
    <t>13-Jun</t>
  </si>
  <si>
    <t>14-Jun</t>
  </si>
  <si>
    <t>15-Jun</t>
  </si>
  <si>
    <t>16-Jun</t>
  </si>
  <si>
    <t>17-Jun</t>
  </si>
  <si>
    <t>18-Jun</t>
  </si>
  <si>
    <t>19-Jun</t>
  </si>
  <si>
    <t>20-Jun</t>
  </si>
  <si>
    <t>21-Jun</t>
  </si>
  <si>
    <t>22-Jun</t>
  </si>
  <si>
    <t>23-Jun</t>
  </si>
  <si>
    <t>24-Jun</t>
  </si>
  <si>
    <t>25-Jun</t>
  </si>
  <si>
    <t>26-Jun</t>
  </si>
  <si>
    <t>27-Jun</t>
  </si>
  <si>
    <t>28-Jun</t>
  </si>
  <si>
    <t>29-Jun</t>
  </si>
  <si>
    <t>30-Jun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</si>
</sst>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2" x14ac:knownFonts="1">
    <font>
      <sz val="11"/>
      <color theme="1"/>
      <name val="Calibri"/>
      <family val="2"/>
      <scheme val="minor"/>
    </font>
    <font>
      <sz val="11"/>
      <color theme="1"/>
      <name val="Calibri"/>
      <family val="2"/>
      <scheme val="minor"/>
    </font>
  </fonts>
  <fills count="5">
    <fill>
      <patternFill patternType="none"/>
    </fill>
    <fill>
      <patternFill patternType="gray125"/>
    </fill>
    <fill>
      <patternFill patternType="solid">
        <fgColor theme="0" tint="-0.34998626667073579"/>
        <bgColor indexed="64"/>
      </patternFill>
    </fill>
    <fill>
      <patternFill patternType="solid">
        <fgColor theme="0" tint="-0.249977111117893"/>
        <bgColor indexed="64"/>
      </patternFill>
    </fill>
    <fill>
      <patternFill patternType="solid">
        <fgColor rgb="FF0070C0"/>
        <bgColor indexed="64"/>
      </patternFill>
    </fill>
  </fills>
  <borders count="1">
    <border>
      <left/>
      <right/>
      <top/>
      <bottom/>
      <diagonal/>
    </border>
  </borders>
  <cellStyleXfs count="2">
    <xf numFmtId="0" fontId="0" fillId="0" borderId="0"/>
    <xf numFmtId="9" fontId="1" fillId="0" borderId="0" applyFont="0" applyFill="0" applyBorder="0" applyAlignment="0" applyProtection="0"/>
  </cellStyleXfs>
  <cellXfs count="13">
    <xf numFmtId="0" fontId="0" fillId="0" borderId="0" xfId="0"/>
    <xf numFmtId="0" fontId="0" fillId="0" borderId="0" xfId="0" pivotButton="1"/>
    <xf numFmtId="2" fontId="0" fillId="0" borderId="0" xfId="0" applyNumberFormat="1"/>
    <xf numFmtId="0" fontId="0" fillId="2" borderId="0" xfId="0" applyFill="1"/>
    <xf numFmtId="0" fontId="0" fillId="0" borderId="0" xfId="0" applyAlignment="1">
      <alignment horizontal="left"/>
    </xf>
    <xf numFmtId="10" fontId="0" fillId="0" borderId="0" xfId="0" applyNumberFormat="1"/>
    <xf numFmtId="0" fontId="0" fillId="3" borderId="0" xfId="0" applyFill="1"/>
    <xf numFmtId="0" fontId="0" fillId="4" borderId="0" xfId="0" applyFill="1"/>
    <xf numFmtId="0" fontId="0" fillId="4" borderId="0" xfId="0" applyFill="1" applyAlignment="1">
      <alignment horizontal="center" vertical="center"/>
    </xf>
    <xf numFmtId="0" fontId="0" fillId="3" borderId="0" xfId="0" applyFill="1" applyAlignment="1">
      <alignment horizontal="center" vertical="center"/>
    </xf>
    <xf numFmtId="9" fontId="0" fillId="3" borderId="0" xfId="1" applyFont="1" applyFill="1" applyAlignment="1">
      <alignment horizontal="center" vertical="center"/>
    </xf>
    <xf numFmtId="1" fontId="0" fillId="0" borderId="0" xfId="0" applyNumberFormat="1"/>
    <xf numFmtId="0" fontId="0" fillId="0" borderId="0" xfId="0" applyNumberFormat="1"/>
  </cellXfs>
  <cellStyles count="2">
    <cellStyle name="Normal" xfId="0" builtinId="0"/>
    <cellStyle name="Percent" xfId="1" builtinId="5"/>
  </cellStyles>
  <dxfs count="68">
    <dxf>
      <numFmt numFmtId="1" formatCode="0"/>
    </dxf>
    <dxf>
      <numFmt numFmtId="1" formatCode="0"/>
    </dxf>
    <dxf>
      <numFmt numFmtId="1" formatCode="0"/>
    </dxf>
    <dxf>
      <numFmt numFmtId="1" formatCode="0"/>
    </dxf>
    <dxf>
      <numFmt numFmtId="1" formatCode="0"/>
    </dxf>
    <dxf>
      <numFmt numFmtId="2" formatCode="0.00"/>
    </dxf>
    <dxf>
      <numFmt numFmtId="14" formatCode="0.00%"/>
    </dxf>
    <dxf>
      <numFmt numFmtId="2" formatCode="0.00"/>
    </dxf>
    <dxf>
      <numFmt numFmtId="2" formatCode="0.00"/>
    </dxf>
    <dxf>
      <numFmt numFmtId="2" formatCode="0.00"/>
    </dxf>
    <dxf>
      <numFmt numFmtId="2" formatCode="0.00"/>
    </dxf>
    <dxf>
      <numFmt numFmtId="1" formatCode="0"/>
    </dxf>
    <dxf>
      <numFmt numFmtId="1" formatCode="0"/>
    </dxf>
    <dxf>
      <numFmt numFmtId="1" formatCode="0"/>
    </dxf>
    <dxf>
      <numFmt numFmtId="1" formatCode="0"/>
    </dxf>
    <dxf>
      <numFmt numFmtId="1" formatCode="0"/>
    </dxf>
    <dxf>
      <numFmt numFmtId="2" formatCode="0.00"/>
    </dxf>
    <dxf>
      <numFmt numFmtId="14" formatCode="0.00%"/>
    </dxf>
    <dxf>
      <numFmt numFmtId="2" formatCode="0.00"/>
    </dxf>
    <dxf>
      <numFmt numFmtId="2" formatCode="0.00"/>
    </dxf>
    <dxf>
      <numFmt numFmtId="2" formatCode="0.00"/>
    </dxf>
    <dxf>
      <numFmt numFmtId="2" formatCode="0.00"/>
    </dxf>
    <dxf>
      <numFmt numFmtId="1" formatCode="0"/>
    </dxf>
    <dxf>
      <numFmt numFmtId="1" formatCode="0"/>
    </dxf>
    <dxf>
      <numFmt numFmtId="1" formatCode="0"/>
    </dxf>
    <dxf>
      <numFmt numFmtId="1" formatCode="0"/>
    </dxf>
    <dxf>
      <numFmt numFmtId="1" formatCode="0"/>
    </dxf>
    <dxf>
      <numFmt numFmtId="2" formatCode="0.00"/>
    </dxf>
    <dxf>
      <numFmt numFmtId="14" formatCode="0.00%"/>
    </dxf>
    <dxf>
      <numFmt numFmtId="2" formatCode="0.00"/>
    </dxf>
    <dxf>
      <numFmt numFmtId="2" formatCode="0.00"/>
    </dxf>
    <dxf>
      <numFmt numFmtId="2" formatCode="0.00"/>
    </dxf>
    <dxf>
      <numFmt numFmtId="2" formatCode="0.00"/>
    </dxf>
    <dxf>
      <numFmt numFmtId="1" formatCode="0"/>
    </dxf>
    <dxf>
      <numFmt numFmtId="1" formatCode="0"/>
    </dxf>
    <dxf>
      <numFmt numFmtId="1" formatCode="0"/>
    </dxf>
    <dxf>
      <numFmt numFmtId="1" formatCode="0"/>
    </dxf>
    <dxf>
      <numFmt numFmtId="1" formatCode="0"/>
    </dxf>
    <dxf>
      <numFmt numFmtId="2" formatCode="0.00"/>
    </dxf>
    <dxf>
      <numFmt numFmtId="14" formatCode="0.00%"/>
    </dxf>
    <dxf>
      <numFmt numFmtId="2" formatCode="0.00"/>
    </dxf>
    <dxf>
      <numFmt numFmtId="2" formatCode="0.00"/>
    </dxf>
    <dxf>
      <numFmt numFmtId="2" formatCode="0.00"/>
    </dxf>
    <dxf>
      <numFmt numFmtId="2" formatCode="0.00"/>
    </dxf>
    <dxf>
      <numFmt numFmtId="1" formatCode="0"/>
    </dxf>
    <dxf>
      <numFmt numFmtId="1" formatCode="0"/>
    </dxf>
    <dxf>
      <numFmt numFmtId="1" formatCode="0"/>
    </dxf>
    <dxf>
      <numFmt numFmtId="1" formatCode="0"/>
    </dxf>
    <dxf>
      <numFmt numFmtId="1" formatCode="0"/>
    </dxf>
    <dxf>
      <numFmt numFmtId="2" formatCode="0.00"/>
    </dxf>
    <dxf>
      <numFmt numFmtId="14" formatCode="0.00%"/>
    </dxf>
    <dxf>
      <numFmt numFmtId="2" formatCode="0.00"/>
    </dxf>
    <dxf>
      <numFmt numFmtId="2" formatCode="0.00"/>
    </dxf>
    <dxf>
      <numFmt numFmtId="2" formatCode="0.00"/>
    </dxf>
    <dxf>
      <numFmt numFmtId="2" formatCode="0.00"/>
    </dxf>
    <dxf>
      <numFmt numFmtId="1" formatCode="0"/>
    </dxf>
    <dxf>
      <numFmt numFmtId="14" formatCode="0.00%"/>
    </dxf>
    <dxf>
      <numFmt numFmtId="2" formatCode="0.00"/>
    </dxf>
    <dxf>
      <numFmt numFmtId="1" formatCode="0"/>
    </dxf>
    <dxf>
      <numFmt numFmtId="1" formatCode="0"/>
    </dxf>
    <dxf>
      <numFmt numFmtId="1" formatCode="0"/>
    </dxf>
    <dxf>
      <numFmt numFmtId="2" formatCode="0.00"/>
    </dxf>
    <dxf>
      <numFmt numFmtId="1" formatCode="0"/>
    </dxf>
    <dxf>
      <numFmt numFmtId="2" formatCode="0.00"/>
    </dxf>
    <dxf>
      <numFmt numFmtId="2" formatCode="0.00"/>
    </dxf>
    <dxf>
      <numFmt numFmtId="2" formatCode="0.00"/>
    </dxf>
    <dxf>
      <fill>
        <patternFill>
          <bgColor theme="0" tint="-0.24994659260841701"/>
        </patternFill>
      </fill>
    </dxf>
    <dxf>
      <font>
        <sz val="7"/>
        <color theme="1"/>
      </font>
      <fill>
        <patternFill patternType="solid">
          <bgColor theme="0" tint="-4.9989318521683403E-2"/>
        </patternFill>
      </fill>
      <border diagonalUp="0" diagonalDown="0">
        <left/>
        <right/>
        <top/>
        <bottom/>
        <vertical/>
        <horizontal/>
      </border>
    </dxf>
  </dxfs>
  <tableStyles count="1" defaultTableStyle="TableStyleMedium2" defaultPivotStyle="PivotStyleLight16">
    <tableStyle name=" Mystyle" pivot="0" table="0" count="10" xr9:uid="{93CAE497-2C35-467E-8E93-0CDBEB3A5585}">
      <tableStyleElement type="wholeTable" dxfId="67"/>
      <tableStyleElement type="headerRow" dxfId="66"/>
    </tableStyle>
  </tableStyles>
  <extLst>
    <ext xmlns:x14="http://schemas.microsoft.com/office/spreadsheetml/2009/9/main" uri="{46F421CA-312F-682f-3DD2-61675219B42D}">
      <x14:dxfs count="8">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5" tint="0.79998168889431442"/>
              <bgColor theme="5" tint="0.79998168889431442"/>
            </patternFill>
          </fill>
          <border>
            <left style="thin">
              <color rgb="FFCCCCCC"/>
            </left>
            <right style="thin">
              <color rgb="FFCCCCCC"/>
            </right>
            <top style="thin">
              <color rgb="FFCCCCCC"/>
            </top>
            <bottom style="thin">
              <color rgb="FFCCCCCC"/>
            </bottom>
            <vertical/>
            <horizontal/>
          </border>
        </dxf>
        <dxf>
          <font>
            <color rgb="FF000000"/>
          </font>
          <fill>
            <patternFill patternType="solid">
              <fgColor theme="5" tint="0.59999389629810485"/>
              <bgColor theme="5" tint="0.59999389629810485"/>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color rgb="FF000000"/>
          </font>
          <fill>
            <patternFill patternType="solid">
              <fgColor rgb="FFFFFFFF"/>
              <bgColor theme="0" tint="-0.24994659260841701"/>
            </patternFill>
          </fill>
          <border>
            <left style="thin">
              <color rgb="FFCCCCCC"/>
            </left>
            <right style="thin">
              <color rgb="FFCCCCCC"/>
            </right>
            <top style="thin">
              <color rgb="FFCCCCCC"/>
            </top>
            <bottom style="thin">
              <color rgb="FFCCCCCC"/>
            </bottom>
            <vertical/>
            <horizontal/>
          </border>
        </dxf>
      </x14:dxfs>
    </ext>
    <ext xmlns:x14="http://schemas.microsoft.com/office/spreadsheetml/2009/9/main" uri="{EB79DEF2-80B8-43e5-95BD-54CBDDF9020C}">
      <x14:slicerStyles defaultSlicerStyle="SlicerStyleLight1">
        <x14:slicerStyle name=" Mystyle">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pivotCacheDefinition" Target="pivotCache/pivotCacheDefinition8.xml"/><Relationship Id="rId18" Type="http://schemas.openxmlformats.org/officeDocument/2006/relationships/pivotCacheDefinition" Target="pivotCache/pivotCacheDefinition13.xml"/><Relationship Id="rId26" Type="http://schemas.openxmlformats.org/officeDocument/2006/relationships/calcChain" Target="calcChain.xml"/><Relationship Id="rId39" Type="http://schemas.openxmlformats.org/officeDocument/2006/relationships/customXml" Target="../customXml/item13.xml"/><Relationship Id="rId21" Type="http://schemas.openxmlformats.org/officeDocument/2006/relationships/theme" Target="theme/theme1.xml"/><Relationship Id="rId34" Type="http://schemas.openxmlformats.org/officeDocument/2006/relationships/customXml" Target="../customXml/item8.xml"/><Relationship Id="rId42" Type="http://schemas.openxmlformats.org/officeDocument/2006/relationships/customXml" Target="../customXml/item16.xml"/><Relationship Id="rId7" Type="http://schemas.openxmlformats.org/officeDocument/2006/relationships/pivotCacheDefinition" Target="pivotCache/pivotCacheDefinition2.xml"/><Relationship Id="rId2" Type="http://schemas.openxmlformats.org/officeDocument/2006/relationships/worksheet" Target="worksheets/sheet2.xml"/><Relationship Id="rId16" Type="http://schemas.openxmlformats.org/officeDocument/2006/relationships/pivotCacheDefinition" Target="pivotCache/pivotCacheDefinition11.xml"/><Relationship Id="rId20" Type="http://schemas.microsoft.com/office/2007/relationships/slicerCache" Target="slicerCaches/slicerCache2.xml"/><Relationship Id="rId29" Type="http://schemas.openxmlformats.org/officeDocument/2006/relationships/customXml" Target="../customXml/item3.xml"/><Relationship Id="rId41" Type="http://schemas.openxmlformats.org/officeDocument/2006/relationships/customXml" Target="../customXml/item15.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1" Type="http://schemas.openxmlformats.org/officeDocument/2006/relationships/pivotCacheDefinition" Target="pivotCache/pivotCacheDefinition6.xml"/><Relationship Id="rId24" Type="http://schemas.openxmlformats.org/officeDocument/2006/relationships/sharedStrings" Target="sharedStrings.xml"/><Relationship Id="rId32" Type="http://schemas.openxmlformats.org/officeDocument/2006/relationships/customXml" Target="../customXml/item6.xml"/><Relationship Id="rId37" Type="http://schemas.openxmlformats.org/officeDocument/2006/relationships/customXml" Target="../customXml/item11.xml"/><Relationship Id="rId40" Type="http://schemas.openxmlformats.org/officeDocument/2006/relationships/customXml" Target="../customXml/item14.xml"/><Relationship Id="rId5" Type="http://schemas.openxmlformats.org/officeDocument/2006/relationships/worksheet" Target="worksheets/sheet5.xml"/><Relationship Id="rId15" Type="http://schemas.openxmlformats.org/officeDocument/2006/relationships/pivotCacheDefinition" Target="pivotCache/pivotCacheDefinition10.xml"/><Relationship Id="rId23" Type="http://schemas.openxmlformats.org/officeDocument/2006/relationships/styles" Target="styles.xml"/><Relationship Id="rId28" Type="http://schemas.openxmlformats.org/officeDocument/2006/relationships/customXml" Target="../customXml/item2.xml"/><Relationship Id="rId36" Type="http://schemas.openxmlformats.org/officeDocument/2006/relationships/customXml" Target="../customXml/item10.xml"/><Relationship Id="rId10" Type="http://schemas.openxmlformats.org/officeDocument/2006/relationships/pivotCacheDefinition" Target="pivotCache/pivotCacheDefinition5.xml"/><Relationship Id="rId19" Type="http://schemas.microsoft.com/office/2007/relationships/slicerCache" Target="slicerCaches/slicerCache1.xml"/><Relationship Id="rId31" Type="http://schemas.openxmlformats.org/officeDocument/2006/relationships/customXml" Target="../customXml/item5.xml"/><Relationship Id="rId44" Type="http://schemas.openxmlformats.org/officeDocument/2006/relationships/customXml" Target="../customXml/item18.xml"/><Relationship Id="rId4" Type="http://schemas.openxmlformats.org/officeDocument/2006/relationships/worksheet" Target="worksheets/sheet4.xml"/><Relationship Id="rId9" Type="http://schemas.openxmlformats.org/officeDocument/2006/relationships/pivotCacheDefinition" Target="pivotCache/pivotCacheDefinition4.xml"/><Relationship Id="rId14" Type="http://schemas.openxmlformats.org/officeDocument/2006/relationships/pivotCacheDefinition" Target="pivotCache/pivotCacheDefinition9.xml"/><Relationship Id="rId22" Type="http://schemas.openxmlformats.org/officeDocument/2006/relationships/connections" Target="connections.xml"/><Relationship Id="rId27" Type="http://schemas.openxmlformats.org/officeDocument/2006/relationships/customXml" Target="../customXml/item1.xml"/><Relationship Id="rId30" Type="http://schemas.openxmlformats.org/officeDocument/2006/relationships/customXml" Target="../customXml/item4.xml"/><Relationship Id="rId35" Type="http://schemas.openxmlformats.org/officeDocument/2006/relationships/customXml" Target="../customXml/item9.xml"/><Relationship Id="rId43" Type="http://schemas.openxmlformats.org/officeDocument/2006/relationships/customXml" Target="../customXml/item17.xml"/><Relationship Id="rId8" Type="http://schemas.openxmlformats.org/officeDocument/2006/relationships/pivotCacheDefinition" Target="pivotCache/pivotCacheDefinition3.xml"/><Relationship Id="rId3" Type="http://schemas.openxmlformats.org/officeDocument/2006/relationships/worksheet" Target="worksheets/sheet3.xml"/><Relationship Id="rId12" Type="http://schemas.openxmlformats.org/officeDocument/2006/relationships/pivotCacheDefinition" Target="pivotCache/pivotCacheDefinition7.xml"/><Relationship Id="rId17" Type="http://schemas.openxmlformats.org/officeDocument/2006/relationships/pivotCacheDefinition" Target="pivotCache/pivotCacheDefinition12.xml"/><Relationship Id="rId25" Type="http://schemas.openxmlformats.org/officeDocument/2006/relationships/powerPivotData" Target="model/item.data"/><Relationship Id="rId33" Type="http://schemas.openxmlformats.org/officeDocument/2006/relationships/customXml" Target="../customXml/item7.xml"/><Relationship Id="rId38" Type="http://schemas.openxmlformats.org/officeDocument/2006/relationships/customXml" Target="../customXml/item12.xml"/></Relationships>
</file>

<file path=xl/charts/_rels/chart2.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3.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4.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5.xml.rels><?xml version="1.0" encoding="UTF-8" standalone="yes"?>
<Relationships xmlns="http://schemas.openxmlformats.org/package/2006/relationships"><Relationship Id="rId3" Type="http://schemas.openxmlformats.org/officeDocument/2006/relationships/chartUserShapes" Target="../drawings/drawing3.xml"/><Relationship Id="rId2" Type="http://schemas.microsoft.com/office/2011/relationships/chartColorStyle" Target="colors4.xml"/><Relationship Id="rId1" Type="http://schemas.microsoft.com/office/2011/relationships/chartStyle" Target="style4.xml"/></Relationships>
</file>

<file path=xl/charts/_rels/chart6.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7.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8.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9.xml.rels><?xml version="1.0" encoding="UTF-8" standalone="yes"?>
<Relationships xmlns="http://schemas.openxmlformats.org/package/2006/relationships"><Relationship Id="rId3" Type="http://schemas.openxmlformats.org/officeDocument/2006/relationships/chartUserShapes" Target="../drawings/drawing5.xml"/><Relationship Id="rId2" Type="http://schemas.microsoft.com/office/2011/relationships/chartColorStyle" Target="colors8.xml"/><Relationship Id="rId1" Type="http://schemas.microsoft.com/office/2011/relationships/chartStyle" Target="style8.xml"/></Relationships>
</file>

<file path=xl/charts/_rels/chart10.xml.rels><?xml version="1.0" encoding="UTF-8" standalone="yes"?>
<Relationships xmlns="http://schemas.openxmlformats.org/package/2006/relationships"><Relationship Id="rId3" Type="http://schemas.openxmlformats.org/officeDocument/2006/relationships/chartUserShapes" Target="../drawings/drawing7.xml"/><Relationship Id="rId2" Type="http://schemas.microsoft.com/office/2011/relationships/chartColorStyle" Target="colors9.xml"/><Relationship Id="rId1" Type="http://schemas.microsoft.com/office/2011/relationships/chartStyle" Target="style9.xml"/></Relationships>
</file>

<file path=xl/charts/_rels/chart11.xml.rels><?xml version="1.0" encoding="UTF-8" standalone="yes"?>
<Relationships xmlns="http://schemas.openxmlformats.org/package/2006/relationships"><Relationship Id="rId3" Type="http://schemas.openxmlformats.org/officeDocument/2006/relationships/chartUserShapes" Target="../drawings/drawing9.xml"/><Relationship Id="rId2" Type="http://schemas.microsoft.com/office/2011/relationships/chartColorStyle" Target="colors10.xml"/><Relationship Id="rId1" Type="http://schemas.microsoft.com/office/2011/relationships/chartStyle" Target="style1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[Project.xlsx]Pivot Report!PivotTable7</c:name>
    <c:fmtId val="0"/>
  </c:pivotSource>
  <c:chart>
    <c:autoTitleDeleted val="0"/>
    <c:pivotFmts>
      <c:pivotFmt>
        <c:idx val="0"/>
        <c:spPr>
          <a:solidFill>
            <a:schemeClr val="accent1"/>
          </a:solidFill>
          <a:ln>
            <a:noFill/>
          </a:ln>
          <a:effectLst/>
        </c:spPr>
        <c:marker>
          <c:symbol val="none"/>
        </c:marker>
        <c:dLbl>
          <c:idx val="0"/>
          <c:spPr>
            <a:noFill/>
            <a:ln>
              <a:noFill/>
            </a:ln>
            <a:effectLst/>
          </c:spPr>
          <c:txPr>
            <a:bodyPr wrap="square" lIns="38100" tIns="19050" rIns="38100" bIns="19050" anchor="ctr">
              <a:spAutoFit/>
            </a:bodyPr>
            <a:lstStyle/>
            <a:p>
              <a:pPr>
                <a:defRPr sz="700">
                  <a:solidFill>
                    <a:schemeClr val="tx1"/>
                  </a:solidFill>
                </a:defRPr>
              </a:pPr>
              <a:endParaRPr lang="en-US"/>
            </a:p>
          </c:txPr>
          <c:showLegendKey val="0"/>
          <c:showVal val="0"/>
          <c:showCatName val="0"/>
          <c:showSerName val="0"/>
          <c:showPercent val="0"/>
          <c:showBubbleSize val="0"/>
          <c:extLst>
            <c:ext xmlns:c15="http://schemas.microsoft.com/office/drawing/2012/chart" uri="{CE6537A1-D6FC-4f65-9D91-7224C49458BB}">
              <c15:showDataLabelsRange val="1"/>
            </c:ext>
          </c:extLst>
        </c:dLbl>
      </c:pivotFmt>
      <c:pivotFmt>
        <c:idx val="1"/>
        <c:spPr>
          <a:solidFill>
            <a:schemeClr val="accent2"/>
          </a:solidFill>
          <a:ln>
            <a:noFill/>
          </a:ln>
          <a:effectLst/>
        </c:spPr>
        <c:marker>
          <c:symbol val="none"/>
        </c:marker>
        <c:dLbl>
          <c:idx val="0"/>
          <c:delete val="1"/>
          <c:extLst>
            <c:ext xmlns:c15="http://schemas.microsoft.com/office/drawing/2012/chart" uri="{CE6537A1-D6FC-4f65-9D91-7224C49458BB}"/>
          </c:extLst>
        </c:dLbl>
      </c:pivotFmt>
      <c:pivotFmt>
        <c:idx val="2"/>
        <c:spPr>
          <a:solidFill>
            <a:schemeClr val="accent1"/>
          </a:solidFill>
          <a:ln>
            <a:noFill/>
          </a:ln>
          <a:effectLst/>
        </c:spPr>
        <c:dLbl>
          <c:idx val="0"/>
          <c:tx>
            <c:rich>
              <a:bodyPr wrap="square" lIns="38100" tIns="19050" rIns="38100" bIns="19050" anchor="ctr">
                <a:spAutoFit/>
              </a:bodyPr>
              <a:lstStyle/>
              <a:p>
                <a:pPr>
                  <a:defRPr sz="700">
                    <a:solidFill>
                      <a:schemeClr val="tx1"/>
                    </a:solidFill>
                  </a:defRPr>
                </a:pPr>
                <a:fld id="{C5C8038C-6F84-4416-A3E8-7C99632EE163}" type="CELLRANGE">
                  <a:rPr lang="en-US"/>
                  <a:pPr>
                    <a:defRPr sz="700">
                      <a:solidFill>
                        <a:schemeClr val="tx1"/>
                      </a:solidFill>
                    </a:defRPr>
                  </a:pPr>
                  <a:t>[CELLRANGE]</a:t>
                </a:fld>
                <a:endParaRPr lang="en-IN"/>
              </a:p>
            </c:rich>
          </c:tx>
          <c:spPr>
            <a:noFill/>
            <a:ln>
              <a:noFill/>
            </a:ln>
            <a:effectLst/>
          </c:spPr>
          <c:showLegendKey val="0"/>
          <c:showVal val="0"/>
          <c:showCatName val="0"/>
          <c:showSerName val="0"/>
          <c:showPercent val="0"/>
          <c:showBubbleSize val="0"/>
          <c:extLst>
            <c:ext xmlns:c15="http://schemas.microsoft.com/office/drawing/2012/chart" uri="{CE6537A1-D6FC-4f65-9D91-7224C49458BB}">
              <c15:layout>
                <c:manualLayout>
                  <c:w val="0.34967320261437901"/>
                  <c:h val="0.40086892547522468"/>
                </c:manualLayout>
              </c15:layout>
              <c15:dlblFieldTable/>
              <c15:showDataLabelsRange val="1"/>
            </c:ext>
          </c:extLst>
        </c:dLbl>
      </c:pivotFmt>
      <c:pivotFmt>
        <c:idx val="3"/>
        <c:spPr>
          <a:solidFill>
            <a:schemeClr val="accent1"/>
          </a:solidFill>
          <a:ln>
            <a:noFill/>
          </a:ln>
          <a:effectLst/>
        </c:spPr>
        <c:dLbl>
          <c:idx val="0"/>
          <c:layout>
            <c:manualLayout>
              <c:x val="2.1786492374727618E-2"/>
              <c:y val="-2.5252525252525266E-2"/>
            </c:manualLayout>
          </c:layout>
          <c:tx>
            <c:rich>
              <a:bodyPr wrap="square" lIns="38100" tIns="19050" rIns="38100" bIns="19050" anchor="ctr">
                <a:spAutoFit/>
              </a:bodyPr>
              <a:lstStyle/>
              <a:p>
                <a:pPr>
                  <a:defRPr sz="700">
                    <a:solidFill>
                      <a:schemeClr val="tx1"/>
                    </a:solidFill>
                  </a:defRPr>
                </a:pPr>
                <a:fld id="{1C87C71D-0BAC-4AB1-8E51-5D10AFAF417D}" type="CELLRANGE">
                  <a:rPr lang="en-US"/>
                  <a:pPr>
                    <a:defRPr sz="700">
                      <a:solidFill>
                        <a:schemeClr val="tx1"/>
                      </a:solidFill>
                    </a:defRPr>
                  </a:pPr>
                  <a:t>[CELLRANGE]</a:t>
                </a:fld>
                <a:endParaRPr lang="en-IN"/>
              </a:p>
            </c:rich>
          </c:tx>
          <c:spPr>
            <a:noFill/>
            <a:ln>
              <a:noFill/>
            </a:ln>
            <a:effectLst/>
          </c:spPr>
          <c:showLegendKey val="0"/>
          <c:showVal val="0"/>
          <c:showCatName val="0"/>
          <c:showSerName val="0"/>
          <c:showPercent val="0"/>
          <c:showBubbleSize val="0"/>
          <c:extLst>
            <c:ext xmlns:c15="http://schemas.microsoft.com/office/drawing/2012/chart" uri="{CE6537A1-D6FC-4f65-9D91-7224C49458BB}">
              <c15:layout>
                <c:manualLayout>
                  <c:w val="0.29520697167755994"/>
                  <c:h val="0.4008694225721785"/>
                </c:manualLayout>
              </c15:layout>
              <c15:dlblFieldTable/>
              <c15:showDataLabelsRange val="1"/>
            </c:ext>
          </c:extLst>
        </c:dLbl>
      </c:pivotFmt>
    </c:pivotFmts>
    <c:plotArea>
      <c:layout>
        <c:manualLayout>
          <c:layoutTarget val="inner"/>
          <c:xMode val="edge"/>
          <c:yMode val="edge"/>
          <c:x val="1.2705294749548715E-2"/>
          <c:y val="6.384565301430345E-2"/>
          <c:w val="0.54282257439339066"/>
          <c:h val="0.8416746864975212"/>
        </c:manualLayout>
      </c:layout>
      <c:barChart>
        <c:barDir val="bar"/>
        <c:grouping val="clustered"/>
        <c:varyColors val="0"/>
        <c:ser>
          <c:idx val="0"/>
          <c:order val="0"/>
          <c:tx>
            <c:strRef>
              <c:f>'Pivot Report'!$C$45:$C$46</c:f>
              <c:strCache>
                <c:ptCount val="1"/>
                <c:pt idx="0">
                  <c:v>Count of Patient Admission Flag</c:v>
                </c:pt>
              </c:strCache>
            </c:strRef>
          </c:tx>
          <c:spPr>
            <a:solidFill>
              <a:schemeClr val="accent1"/>
            </a:solidFill>
            <a:ln>
              <a:noFill/>
            </a:ln>
            <a:effectLst/>
          </c:spPr>
          <c:invertIfNegative val="0"/>
          <c:dPt>
            <c:idx val="0"/>
            <c:invertIfNegative val="0"/>
            <c:bubble3D val="0"/>
            <c:extLst>
              <c:ext xmlns:c16="http://schemas.microsoft.com/office/drawing/2014/chart" uri="{C3380CC4-5D6E-409C-BE32-E72D297353CC}">
                <c16:uniqueId val="{00000000-3B0F-4F6F-BD73-FCE223E82A3A}"/>
              </c:ext>
            </c:extLst>
          </c:dPt>
          <c:dPt>
            <c:idx val="1"/>
            <c:invertIfNegative val="0"/>
            <c:bubble3D val="0"/>
            <c:extLst>
              <c:ext xmlns:c16="http://schemas.microsoft.com/office/drawing/2014/chart" uri="{C3380CC4-5D6E-409C-BE32-E72D297353CC}">
                <c16:uniqueId val="{00000001-3B0F-4F6F-BD73-FCE223E82A3A}"/>
              </c:ext>
            </c:extLst>
          </c:dPt>
          <c:dLbls>
            <c:dLbl>
              <c:idx val="0"/>
              <c:tx>
                <c:rich>
                  <a:bodyPr/>
                  <a:lstStyle/>
                  <a:p>
                    <a:fld id="{C5C8038C-6F84-4416-A3E8-7C99632EE163}" type="CELLRANGE">
                      <a:rPr lang="en-US"/>
                      <a:pPr/>
                      <a:t>[CELLRANGE]</a:t>
                    </a:fld>
                    <a:endParaRPr lang="en-IN"/>
                  </a:p>
                </c:rich>
              </c:tx>
              <c:showLegendKey val="0"/>
              <c:showVal val="0"/>
              <c:showCatName val="0"/>
              <c:showSerName val="0"/>
              <c:showPercent val="0"/>
              <c:showBubbleSize val="0"/>
              <c:extLst>
                <c:ext xmlns:c15="http://schemas.microsoft.com/office/drawing/2012/chart" uri="{CE6537A1-D6FC-4f65-9D91-7224C49458BB}">
                  <c15:layout>
                    <c:manualLayout>
                      <c:w val="0.34967320261437901"/>
                      <c:h val="0.40086892547522468"/>
                    </c:manualLayout>
                  </c15:layout>
                  <c15:dlblFieldTable/>
                  <c15:showDataLabelsRange val="1"/>
                </c:ext>
                <c:ext xmlns:c16="http://schemas.microsoft.com/office/drawing/2014/chart" uri="{C3380CC4-5D6E-409C-BE32-E72D297353CC}">
                  <c16:uniqueId val="{00000000-3B0F-4F6F-BD73-FCE223E82A3A}"/>
                </c:ext>
              </c:extLst>
            </c:dLbl>
            <c:dLbl>
              <c:idx val="1"/>
              <c:layout>
                <c:manualLayout>
                  <c:x val="2.1786492374727618E-2"/>
                  <c:y val="-2.5252525252525266E-2"/>
                </c:manualLayout>
              </c:layout>
              <c:tx>
                <c:rich>
                  <a:bodyPr/>
                  <a:lstStyle/>
                  <a:p>
                    <a:fld id="{1C87C71D-0BAC-4AB1-8E51-5D10AFAF417D}" type="CELLRANGE">
                      <a:rPr lang="en-US"/>
                      <a:pPr/>
                      <a:t>[CELLRANGE]</a:t>
                    </a:fld>
                    <a:endParaRPr lang="en-IN"/>
                  </a:p>
                </c:rich>
              </c:tx>
              <c:showLegendKey val="0"/>
              <c:showVal val="0"/>
              <c:showCatName val="0"/>
              <c:showSerName val="0"/>
              <c:showPercent val="0"/>
              <c:showBubbleSize val="0"/>
              <c:extLst>
                <c:ext xmlns:c15="http://schemas.microsoft.com/office/drawing/2012/chart" uri="{CE6537A1-D6FC-4f65-9D91-7224C49458BB}">
                  <c15:layout>
                    <c:manualLayout>
                      <c:w val="0.29520697167755994"/>
                      <c:h val="0.4008694225721785"/>
                    </c:manualLayout>
                  </c15:layout>
                  <c15:dlblFieldTable/>
                  <c15:showDataLabelsRange val="1"/>
                </c:ext>
                <c:ext xmlns:c16="http://schemas.microsoft.com/office/drawing/2014/chart" uri="{C3380CC4-5D6E-409C-BE32-E72D297353CC}">
                  <c16:uniqueId val="{00000001-3B0F-4F6F-BD73-FCE223E82A3A}"/>
                </c:ext>
              </c:extLst>
            </c:dLbl>
            <c:spPr>
              <a:noFill/>
              <a:ln>
                <a:noFill/>
              </a:ln>
              <a:effectLst/>
            </c:spPr>
            <c:txPr>
              <a:bodyPr wrap="square" lIns="38100" tIns="19050" rIns="38100" bIns="19050" anchor="ctr">
                <a:spAutoFit/>
              </a:bodyPr>
              <a:lstStyle/>
              <a:p>
                <a:pPr>
                  <a:defRPr sz="700">
                    <a:solidFill>
                      <a:schemeClr val="tx1"/>
                    </a:solidFill>
                  </a:defRPr>
                </a:pPr>
                <a:endParaRPr lang="en-US"/>
              </a:p>
            </c:txPr>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0"/>
              </c:ext>
            </c:extLst>
          </c:dLbls>
          <c:cat>
            <c:strRef>
              <c:f>'Pivot Report'!$C$45:$C$46</c:f>
              <c:strCache>
                <c:ptCount val="2"/>
                <c:pt idx="0">
                  <c:v>Admitted</c:v>
                </c:pt>
                <c:pt idx="1">
                  <c:v>Not Admitted</c:v>
                </c:pt>
              </c:strCache>
            </c:strRef>
          </c:cat>
          <c:val>
            <c:numRef>
              <c:f>'Pivot Report'!$C$45:$C$46</c:f>
              <c:numCache>
                <c:formatCode>0.00</c:formatCode>
                <c:ptCount val="2"/>
                <c:pt idx="0">
                  <c:v>235</c:v>
                </c:pt>
                <c:pt idx="1">
                  <c:v>250</c:v>
                </c:pt>
              </c:numCache>
            </c:numRef>
          </c:val>
          <c:extLst>
            <c:ext xmlns:c15="http://schemas.microsoft.com/office/drawing/2012/chart" uri="{02D57815-91ED-43cb-92C2-25804820EDAC}">
              <c15:datalabelsRange>
                <c15:f>'Pivot Report'!$C$45:$C$46</c15:f>
                <c15:dlblRangeCache>
                  <c:ptCount val="2"/>
                  <c:pt idx="0">
                    <c:v>48.45%</c:v>
                  </c:pt>
                  <c:pt idx="1">
                    <c:v>51.55%</c:v>
                  </c:pt>
                </c15:dlblRangeCache>
              </c15:datalabelsRange>
            </c:ext>
            <c:ext xmlns:c16="http://schemas.microsoft.com/office/drawing/2014/chart" uri="{C3380CC4-5D6E-409C-BE32-E72D297353CC}">
              <c16:uniqueId val="{00000005-18D3-4DFD-AFA4-34AC37E3A3CF}"/>
            </c:ext>
          </c:extLst>
        </c:ser>
        <c:ser>
          <c:idx val="1"/>
          <c:order val="1"/>
          <c:tx>
            <c:strRef>
              <c:f>'Pivot Report'!$C$45:$C$46</c:f>
              <c:strCache>
                <c:ptCount val="1"/>
                <c:pt idx="0">
                  <c:v>Count of Patient Admission Flag2</c:v>
                </c:pt>
              </c:strCache>
            </c:strRef>
          </c:tx>
          <c:spPr>
            <a:solidFill>
              <a:schemeClr val="accent2"/>
            </a:solidFill>
            <a:ln>
              <a:noFill/>
            </a:ln>
            <a:effectLst/>
          </c:spPr>
          <c:invertIfNegative val="0"/>
          <c:cat>
            <c:strRef>
              <c:f>'Pivot Report'!$C$45:$C$46</c:f>
              <c:strCache>
                <c:ptCount val="2"/>
                <c:pt idx="0">
                  <c:v>Admitted</c:v>
                </c:pt>
                <c:pt idx="1">
                  <c:v>Not Admitted</c:v>
                </c:pt>
              </c:strCache>
            </c:strRef>
          </c:cat>
          <c:val>
            <c:numRef>
              <c:f>'Pivot Report'!$C$45:$C$46</c:f>
              <c:numCache>
                <c:formatCode>0.00%</c:formatCode>
                <c:ptCount val="2"/>
                <c:pt idx="0">
                  <c:v>0.4845360824742268</c:v>
                </c:pt>
                <c:pt idx="1">
                  <c:v>0.51546391752577314</c:v>
                </c:pt>
              </c:numCache>
            </c:numRef>
          </c:val>
          <c:extLst>
            <c:ext xmlns:c16="http://schemas.microsoft.com/office/drawing/2014/chart" uri="{C3380CC4-5D6E-409C-BE32-E72D297353CC}">
              <c16:uniqueId val="{00000006-18D3-4DFD-AFA4-34AC37E3A3CF}"/>
            </c:ext>
          </c:extLst>
        </c:ser>
        <c:dLbls>
          <c:showLegendKey val="0"/>
          <c:showVal val="0"/>
          <c:showCatName val="0"/>
          <c:showSerName val="0"/>
          <c:showPercent val="0"/>
          <c:showBubbleSize val="0"/>
        </c:dLbls>
        <c:gapWidth val="50"/>
        <c:axId val="383453648"/>
        <c:axId val="383450768"/>
      </c:barChart>
      <c:catAx>
        <c:axId val="383453648"/>
        <c:scaling>
          <c:orientation val="minMax"/>
        </c:scaling>
        <c:delete val="1"/>
        <c:axPos val="l"/>
        <c:numFmt formatCode="General" sourceLinked="1"/>
        <c:majorTickMark val="none"/>
        <c:minorTickMark val="none"/>
        <c:tickLblPos val="nextTo"/>
        <c:crossAx val="383450768"/>
        <c:crosses val="autoZero"/>
        <c:auto val="1"/>
        <c:lblAlgn val="ctr"/>
        <c:lblOffset val="100"/>
        <c:noMultiLvlLbl val="0"/>
      </c:catAx>
      <c:valAx>
        <c:axId val="383450768"/>
        <c:scaling>
          <c:orientation val="minMax"/>
        </c:scaling>
        <c:delete val="1"/>
        <c:axPos val="b"/>
        <c:numFmt formatCode="0.00" sourceLinked="1"/>
        <c:majorTickMark val="none"/>
        <c:minorTickMark val="none"/>
        <c:tickLblPos val="nextTo"/>
        <c:crossAx val="38345364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[Project.xlsx]Pivot Report!PivotTable4</c:name>
    <c:fmtId val="3"/>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5400">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5.6847246333746508E-3"/>
          <c:y val="1.2506774732243313E-2"/>
          <c:w val="0.9879455119991466"/>
          <c:h val="0.93914158296261463"/>
        </c:manualLayout>
      </c:layout>
      <c:areaChart>
        <c:grouping val="standard"/>
        <c:varyColors val="0"/>
        <c:ser>
          <c:idx val="0"/>
          <c:order val="0"/>
          <c:tx>
            <c:strRef>
              <c:f>'Pivot Report'!$E$4</c:f>
              <c:strCache>
                <c:ptCount val="1"/>
                <c:pt idx="0">
                  <c:v>Total</c:v>
                </c:pt>
              </c:strCache>
            </c:strRef>
          </c:tx>
          <c:spPr>
            <a:solidFill>
              <a:schemeClr val="accent1"/>
            </a:solidFill>
            <a:ln w="25400">
              <a:noFill/>
            </a:ln>
            <a:effectLst/>
          </c:spPr>
          <c:cat>
            <c:strRef>
              <c:f>'Pivot Report'!$D$5:$D$35</c:f>
              <c:strCache>
                <c:ptCount val="30"/>
                <c:pt idx="0">
                  <c:v>1-Jun</c:v>
                </c:pt>
                <c:pt idx="1">
                  <c:v>2-Jun</c:v>
                </c:pt>
                <c:pt idx="2">
                  <c:v>3-Jun</c:v>
                </c:pt>
                <c:pt idx="3">
                  <c:v>4-Jun</c:v>
                </c:pt>
                <c:pt idx="4">
                  <c:v>5-Jun</c:v>
                </c:pt>
                <c:pt idx="5">
                  <c:v>6-Jun</c:v>
                </c:pt>
                <c:pt idx="6">
                  <c:v>7-Jun</c:v>
                </c:pt>
                <c:pt idx="7">
                  <c:v>8-Jun</c:v>
                </c:pt>
                <c:pt idx="8">
                  <c:v>9-Jun</c:v>
                </c:pt>
                <c:pt idx="9">
                  <c:v>10-Jun</c:v>
                </c:pt>
                <c:pt idx="10">
                  <c:v>11-Jun</c:v>
                </c:pt>
                <c:pt idx="11">
                  <c:v>12-Jun</c:v>
                </c:pt>
                <c:pt idx="12">
                  <c:v>13-Jun</c:v>
                </c:pt>
                <c:pt idx="13">
                  <c:v>14-Jun</c:v>
                </c:pt>
                <c:pt idx="14">
                  <c:v>15-Jun</c:v>
                </c:pt>
                <c:pt idx="15">
                  <c:v>16-Jun</c:v>
                </c:pt>
                <c:pt idx="16">
                  <c:v>17-Jun</c:v>
                </c:pt>
                <c:pt idx="17">
                  <c:v>18-Jun</c:v>
                </c:pt>
                <c:pt idx="18">
                  <c:v>19-Jun</c:v>
                </c:pt>
                <c:pt idx="19">
                  <c:v>20-Jun</c:v>
                </c:pt>
                <c:pt idx="20">
                  <c:v>21-Jun</c:v>
                </c:pt>
                <c:pt idx="21">
                  <c:v>22-Jun</c:v>
                </c:pt>
                <c:pt idx="22">
                  <c:v>23-Jun</c:v>
                </c:pt>
                <c:pt idx="23">
                  <c:v>24-Jun</c:v>
                </c:pt>
                <c:pt idx="24">
                  <c:v>25-Jun</c:v>
                </c:pt>
                <c:pt idx="25">
                  <c:v>26-Jun</c:v>
                </c:pt>
                <c:pt idx="26">
                  <c:v>27-Jun</c:v>
                </c:pt>
                <c:pt idx="27">
                  <c:v>28-Jun</c:v>
                </c:pt>
                <c:pt idx="28">
                  <c:v>29-Jun</c:v>
                </c:pt>
                <c:pt idx="29">
                  <c:v>30-Jun</c:v>
                </c:pt>
              </c:strCache>
            </c:strRef>
          </c:cat>
          <c:val>
            <c:numRef>
              <c:f>'Pivot Report'!$E$5:$E$35</c:f>
              <c:numCache>
                <c:formatCode>General</c:formatCode>
                <c:ptCount val="30"/>
                <c:pt idx="0">
                  <c:v>17</c:v>
                </c:pt>
                <c:pt idx="1">
                  <c:v>10</c:v>
                </c:pt>
                <c:pt idx="2">
                  <c:v>23</c:v>
                </c:pt>
                <c:pt idx="3">
                  <c:v>15</c:v>
                </c:pt>
                <c:pt idx="4">
                  <c:v>14</c:v>
                </c:pt>
                <c:pt idx="5">
                  <c:v>11</c:v>
                </c:pt>
                <c:pt idx="6">
                  <c:v>15</c:v>
                </c:pt>
                <c:pt idx="7">
                  <c:v>20</c:v>
                </c:pt>
                <c:pt idx="8">
                  <c:v>21</c:v>
                </c:pt>
                <c:pt idx="9">
                  <c:v>17</c:v>
                </c:pt>
                <c:pt idx="10">
                  <c:v>17</c:v>
                </c:pt>
                <c:pt idx="11">
                  <c:v>17</c:v>
                </c:pt>
                <c:pt idx="12">
                  <c:v>17</c:v>
                </c:pt>
                <c:pt idx="13">
                  <c:v>11</c:v>
                </c:pt>
                <c:pt idx="14">
                  <c:v>23</c:v>
                </c:pt>
                <c:pt idx="15">
                  <c:v>14</c:v>
                </c:pt>
                <c:pt idx="16">
                  <c:v>22</c:v>
                </c:pt>
                <c:pt idx="17">
                  <c:v>16</c:v>
                </c:pt>
                <c:pt idx="18">
                  <c:v>13</c:v>
                </c:pt>
                <c:pt idx="19">
                  <c:v>14</c:v>
                </c:pt>
                <c:pt idx="20">
                  <c:v>12</c:v>
                </c:pt>
                <c:pt idx="21">
                  <c:v>12</c:v>
                </c:pt>
                <c:pt idx="22">
                  <c:v>20</c:v>
                </c:pt>
                <c:pt idx="23">
                  <c:v>19</c:v>
                </c:pt>
                <c:pt idx="24">
                  <c:v>13</c:v>
                </c:pt>
                <c:pt idx="25">
                  <c:v>15</c:v>
                </c:pt>
                <c:pt idx="26">
                  <c:v>19</c:v>
                </c:pt>
                <c:pt idx="27">
                  <c:v>17</c:v>
                </c:pt>
                <c:pt idx="28">
                  <c:v>15</c:v>
                </c:pt>
                <c:pt idx="29">
                  <c:v>16</c:v>
                </c:pt>
              </c:numCache>
            </c:numRef>
          </c:val>
          <c:extLst>
            <c:ext xmlns:c16="http://schemas.microsoft.com/office/drawing/2014/chart" uri="{C3380CC4-5D6E-409C-BE32-E72D297353CC}">
              <c16:uniqueId val="{00000001-1BA7-4E5F-9060-31C247313F7B}"/>
            </c:ext>
          </c:extLst>
        </c:ser>
        <c:dLbls>
          <c:showLegendKey val="0"/>
          <c:showVal val="0"/>
          <c:showCatName val="0"/>
          <c:showSerName val="0"/>
          <c:showPercent val="0"/>
          <c:showBubbleSize val="0"/>
        </c:dLbls>
        <c:axId val="56507615"/>
        <c:axId val="56508095"/>
      </c:areaChart>
      <c:catAx>
        <c:axId val="56507615"/>
        <c:scaling>
          <c:orientation val="minMax"/>
        </c:scaling>
        <c:delete val="1"/>
        <c:axPos val="b"/>
        <c:numFmt formatCode="General" sourceLinked="1"/>
        <c:majorTickMark val="out"/>
        <c:minorTickMark val="none"/>
        <c:tickLblPos val="nextTo"/>
        <c:crossAx val="56508095"/>
        <c:crosses val="autoZero"/>
        <c:auto val="1"/>
        <c:lblAlgn val="ctr"/>
        <c:lblOffset val="100"/>
        <c:noMultiLvlLbl val="0"/>
      </c:catAx>
      <c:valAx>
        <c:axId val="56508095"/>
        <c:scaling>
          <c:orientation val="minMax"/>
        </c:scaling>
        <c:delete val="1"/>
        <c:axPos val="l"/>
        <c:numFmt formatCode="General" sourceLinked="1"/>
        <c:majorTickMark val="none"/>
        <c:minorTickMark val="none"/>
        <c:tickLblPos val="nextTo"/>
        <c:crossAx val="56507615"/>
        <c:crosses val="autoZero"/>
        <c:crossBetween val="midCat"/>
      </c:valAx>
      <c:spPr>
        <a:noFill/>
        <a:ln>
          <a:noFill/>
        </a:ln>
        <a:effectLst/>
      </c:spPr>
    </c:plotArea>
    <c:plotVisOnly val="1"/>
    <c:dispBlanksAs val="zero"/>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[Project.xlsx]Pivot Report!PivotTable5</c:name>
    <c:fmtId val="14"/>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5400">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6.8503946554797097E-4"/>
          <c:y val="0.19786875792872793"/>
          <c:w val="0.99793391520078012"/>
          <c:h val="0.79697995301948177"/>
        </c:manualLayout>
      </c:layout>
      <c:areaChart>
        <c:grouping val="standard"/>
        <c:varyColors val="0"/>
        <c:ser>
          <c:idx val="0"/>
          <c:order val="0"/>
          <c:tx>
            <c:strRef>
              <c:f>'Pivot Report'!$H$4</c:f>
              <c:strCache>
                <c:ptCount val="1"/>
                <c:pt idx="0">
                  <c:v>Total</c:v>
                </c:pt>
              </c:strCache>
            </c:strRef>
          </c:tx>
          <c:spPr>
            <a:solidFill>
              <a:schemeClr val="accent1"/>
            </a:solidFill>
            <a:ln w="25400">
              <a:noFill/>
            </a:ln>
            <a:effectLst/>
          </c:spPr>
          <c:cat>
            <c:strRef>
              <c:f>'Pivot Report'!$G$5:$G$35</c:f>
              <c:strCache>
                <c:ptCount val="30"/>
                <c:pt idx="0">
                  <c:v>1-Jun</c:v>
                </c:pt>
                <c:pt idx="1">
                  <c:v>2-Jun</c:v>
                </c:pt>
                <c:pt idx="2">
                  <c:v>3-Jun</c:v>
                </c:pt>
                <c:pt idx="3">
                  <c:v>4-Jun</c:v>
                </c:pt>
                <c:pt idx="4">
                  <c:v>5-Jun</c:v>
                </c:pt>
                <c:pt idx="5">
                  <c:v>6-Jun</c:v>
                </c:pt>
                <c:pt idx="6">
                  <c:v>7-Jun</c:v>
                </c:pt>
                <c:pt idx="7">
                  <c:v>8-Jun</c:v>
                </c:pt>
                <c:pt idx="8">
                  <c:v>9-Jun</c:v>
                </c:pt>
                <c:pt idx="9">
                  <c:v>10-Jun</c:v>
                </c:pt>
                <c:pt idx="10">
                  <c:v>11-Jun</c:v>
                </c:pt>
                <c:pt idx="11">
                  <c:v>12-Jun</c:v>
                </c:pt>
                <c:pt idx="12">
                  <c:v>13-Jun</c:v>
                </c:pt>
                <c:pt idx="13">
                  <c:v>14-Jun</c:v>
                </c:pt>
                <c:pt idx="14">
                  <c:v>15-Jun</c:v>
                </c:pt>
                <c:pt idx="15">
                  <c:v>16-Jun</c:v>
                </c:pt>
                <c:pt idx="16">
                  <c:v>17-Jun</c:v>
                </c:pt>
                <c:pt idx="17">
                  <c:v>18-Jun</c:v>
                </c:pt>
                <c:pt idx="18">
                  <c:v>19-Jun</c:v>
                </c:pt>
                <c:pt idx="19">
                  <c:v>20-Jun</c:v>
                </c:pt>
                <c:pt idx="20">
                  <c:v>21-Jun</c:v>
                </c:pt>
                <c:pt idx="21">
                  <c:v>22-Jun</c:v>
                </c:pt>
                <c:pt idx="22">
                  <c:v>23-Jun</c:v>
                </c:pt>
                <c:pt idx="23">
                  <c:v>24-Jun</c:v>
                </c:pt>
                <c:pt idx="24">
                  <c:v>25-Jun</c:v>
                </c:pt>
                <c:pt idx="25">
                  <c:v>26-Jun</c:v>
                </c:pt>
                <c:pt idx="26">
                  <c:v>27-Jun</c:v>
                </c:pt>
                <c:pt idx="27">
                  <c:v>28-Jun</c:v>
                </c:pt>
                <c:pt idx="28">
                  <c:v>29-Jun</c:v>
                </c:pt>
                <c:pt idx="29">
                  <c:v>30-Jun</c:v>
                </c:pt>
              </c:strCache>
            </c:strRef>
          </c:cat>
          <c:val>
            <c:numRef>
              <c:f>'Pivot Report'!$H$5:$H$35</c:f>
              <c:numCache>
                <c:formatCode>0.00</c:formatCode>
                <c:ptCount val="30"/>
                <c:pt idx="0">
                  <c:v>33.352941176470587</c:v>
                </c:pt>
                <c:pt idx="1">
                  <c:v>38.4</c:v>
                </c:pt>
                <c:pt idx="2">
                  <c:v>38.521739130434781</c:v>
                </c:pt>
                <c:pt idx="3">
                  <c:v>30.4</c:v>
                </c:pt>
                <c:pt idx="4">
                  <c:v>33.142857142857146</c:v>
                </c:pt>
                <c:pt idx="5">
                  <c:v>38.18181818181818</c:v>
                </c:pt>
                <c:pt idx="6">
                  <c:v>39.733333333333334</c:v>
                </c:pt>
                <c:pt idx="7">
                  <c:v>37</c:v>
                </c:pt>
                <c:pt idx="8">
                  <c:v>35.61904761904762</c:v>
                </c:pt>
                <c:pt idx="9">
                  <c:v>34.176470588235297</c:v>
                </c:pt>
                <c:pt idx="10">
                  <c:v>37.176470588235297</c:v>
                </c:pt>
                <c:pt idx="11">
                  <c:v>36.647058823529413</c:v>
                </c:pt>
                <c:pt idx="12">
                  <c:v>34.941176470588232</c:v>
                </c:pt>
                <c:pt idx="13">
                  <c:v>44</c:v>
                </c:pt>
                <c:pt idx="14">
                  <c:v>38.913043478260867</c:v>
                </c:pt>
                <c:pt idx="15">
                  <c:v>31</c:v>
                </c:pt>
                <c:pt idx="16">
                  <c:v>34.227272727272727</c:v>
                </c:pt>
                <c:pt idx="17">
                  <c:v>31</c:v>
                </c:pt>
                <c:pt idx="18">
                  <c:v>32.153846153846153</c:v>
                </c:pt>
                <c:pt idx="19">
                  <c:v>32.785714285714285</c:v>
                </c:pt>
                <c:pt idx="20">
                  <c:v>30</c:v>
                </c:pt>
                <c:pt idx="21">
                  <c:v>33.5</c:v>
                </c:pt>
                <c:pt idx="22">
                  <c:v>32.950000000000003</c:v>
                </c:pt>
                <c:pt idx="23">
                  <c:v>35.842105263157897</c:v>
                </c:pt>
                <c:pt idx="24">
                  <c:v>33.846153846153847</c:v>
                </c:pt>
                <c:pt idx="25">
                  <c:v>39.06666666666667</c:v>
                </c:pt>
                <c:pt idx="26">
                  <c:v>36.684210526315788</c:v>
                </c:pt>
                <c:pt idx="27">
                  <c:v>33.764705882352942</c:v>
                </c:pt>
                <c:pt idx="28">
                  <c:v>34.533333333333331</c:v>
                </c:pt>
                <c:pt idx="29">
                  <c:v>42.125</c:v>
                </c:pt>
              </c:numCache>
            </c:numRef>
          </c:val>
          <c:extLst>
            <c:ext xmlns:c16="http://schemas.microsoft.com/office/drawing/2014/chart" uri="{C3380CC4-5D6E-409C-BE32-E72D297353CC}">
              <c16:uniqueId val="{00000001-EF88-47F9-A7C9-A9FA4EFDA972}"/>
            </c:ext>
          </c:extLst>
        </c:ser>
        <c:dLbls>
          <c:showLegendKey val="0"/>
          <c:showVal val="0"/>
          <c:showCatName val="0"/>
          <c:showSerName val="0"/>
          <c:showPercent val="0"/>
          <c:showBubbleSize val="0"/>
        </c:dLbls>
        <c:axId val="48171695"/>
        <c:axId val="48172175"/>
      </c:areaChart>
      <c:catAx>
        <c:axId val="48171695"/>
        <c:scaling>
          <c:orientation val="minMax"/>
        </c:scaling>
        <c:delete val="1"/>
        <c:axPos val="b"/>
        <c:numFmt formatCode="General" sourceLinked="1"/>
        <c:majorTickMark val="out"/>
        <c:minorTickMark val="none"/>
        <c:tickLblPos val="nextTo"/>
        <c:crossAx val="48172175"/>
        <c:crosses val="autoZero"/>
        <c:auto val="1"/>
        <c:lblAlgn val="ctr"/>
        <c:lblOffset val="100"/>
        <c:noMultiLvlLbl val="0"/>
      </c:catAx>
      <c:valAx>
        <c:axId val="48172175"/>
        <c:scaling>
          <c:orientation val="minMax"/>
        </c:scaling>
        <c:delete val="1"/>
        <c:axPos val="l"/>
        <c:numFmt formatCode="0.00" sourceLinked="1"/>
        <c:majorTickMark val="none"/>
        <c:minorTickMark val="none"/>
        <c:tickLblPos val="nextTo"/>
        <c:crossAx val="48171695"/>
        <c:crosses val="autoZero"/>
        <c:crossBetween val="midCat"/>
      </c:valAx>
      <c:spPr>
        <a:noFill/>
        <a:ln>
          <a:noFill/>
        </a:ln>
        <a:effectLst/>
      </c:spPr>
    </c:plotArea>
    <c:plotVisOnly val="1"/>
    <c:dispBlanksAs val="zero"/>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[Project.xlsx]Pivot Report!PivotTable6</c:name>
    <c:fmtId val="22"/>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5400">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1.2758612886569315E-2"/>
          <c:y val="0.23049229987427694"/>
          <c:w val="0.98275776944392446"/>
          <c:h val="0.76056961334675122"/>
        </c:manualLayout>
      </c:layout>
      <c:areaChart>
        <c:grouping val="standard"/>
        <c:varyColors val="0"/>
        <c:ser>
          <c:idx val="0"/>
          <c:order val="0"/>
          <c:tx>
            <c:strRef>
              <c:f>'Pivot Report'!$K$4</c:f>
              <c:strCache>
                <c:ptCount val="1"/>
                <c:pt idx="0">
                  <c:v>Total</c:v>
                </c:pt>
              </c:strCache>
            </c:strRef>
          </c:tx>
          <c:spPr>
            <a:solidFill>
              <a:schemeClr val="accent1"/>
            </a:solidFill>
            <a:ln w="25400">
              <a:noFill/>
            </a:ln>
            <a:effectLst/>
          </c:spPr>
          <c:cat>
            <c:strRef>
              <c:f>'Pivot Report'!$J$5:$J$35</c:f>
              <c:strCache>
                <c:ptCount val="30"/>
                <c:pt idx="0">
                  <c:v>1-Jun</c:v>
                </c:pt>
                <c:pt idx="1">
                  <c:v>2-Jun</c:v>
                </c:pt>
                <c:pt idx="2">
                  <c:v>3-Jun</c:v>
                </c:pt>
                <c:pt idx="3">
                  <c:v>4-Jun</c:v>
                </c:pt>
                <c:pt idx="4">
                  <c:v>5-Jun</c:v>
                </c:pt>
                <c:pt idx="5">
                  <c:v>6-Jun</c:v>
                </c:pt>
                <c:pt idx="6">
                  <c:v>7-Jun</c:v>
                </c:pt>
                <c:pt idx="7">
                  <c:v>8-Jun</c:v>
                </c:pt>
                <c:pt idx="8">
                  <c:v>9-Jun</c:v>
                </c:pt>
                <c:pt idx="9">
                  <c:v>10-Jun</c:v>
                </c:pt>
                <c:pt idx="10">
                  <c:v>11-Jun</c:v>
                </c:pt>
                <c:pt idx="11">
                  <c:v>12-Jun</c:v>
                </c:pt>
                <c:pt idx="12">
                  <c:v>13-Jun</c:v>
                </c:pt>
                <c:pt idx="13">
                  <c:v>14-Jun</c:v>
                </c:pt>
                <c:pt idx="14">
                  <c:v>15-Jun</c:v>
                </c:pt>
                <c:pt idx="15">
                  <c:v>16-Jun</c:v>
                </c:pt>
                <c:pt idx="16">
                  <c:v>17-Jun</c:v>
                </c:pt>
                <c:pt idx="17">
                  <c:v>18-Jun</c:v>
                </c:pt>
                <c:pt idx="18">
                  <c:v>19-Jun</c:v>
                </c:pt>
                <c:pt idx="19">
                  <c:v>20-Jun</c:v>
                </c:pt>
                <c:pt idx="20">
                  <c:v>21-Jun</c:v>
                </c:pt>
                <c:pt idx="21">
                  <c:v>22-Jun</c:v>
                </c:pt>
                <c:pt idx="22">
                  <c:v>23-Jun</c:v>
                </c:pt>
                <c:pt idx="23">
                  <c:v>24-Jun</c:v>
                </c:pt>
                <c:pt idx="24">
                  <c:v>25-Jun</c:v>
                </c:pt>
                <c:pt idx="25">
                  <c:v>26-Jun</c:v>
                </c:pt>
                <c:pt idx="26">
                  <c:v>27-Jun</c:v>
                </c:pt>
                <c:pt idx="27">
                  <c:v>28-Jun</c:v>
                </c:pt>
                <c:pt idx="28">
                  <c:v>29-Jun</c:v>
                </c:pt>
                <c:pt idx="29">
                  <c:v>30-Jun</c:v>
                </c:pt>
              </c:strCache>
            </c:strRef>
          </c:cat>
          <c:val>
            <c:numRef>
              <c:f>'Pivot Report'!$K$5:$K$35</c:f>
              <c:numCache>
                <c:formatCode>0.00</c:formatCode>
                <c:ptCount val="30"/>
                <c:pt idx="0">
                  <c:v>4.75</c:v>
                </c:pt>
                <c:pt idx="1">
                  <c:v>5.2</c:v>
                </c:pt>
                <c:pt idx="2">
                  <c:v>3.375</c:v>
                </c:pt>
                <c:pt idx="3">
                  <c:v>5.8</c:v>
                </c:pt>
                <c:pt idx="4">
                  <c:v>4.375</c:v>
                </c:pt>
                <c:pt idx="5">
                  <c:v>3</c:v>
                </c:pt>
                <c:pt idx="6">
                  <c:v>5</c:v>
                </c:pt>
                <c:pt idx="7">
                  <c:v>3</c:v>
                </c:pt>
                <c:pt idx="8">
                  <c:v>4.9090909090909092</c:v>
                </c:pt>
                <c:pt idx="9">
                  <c:v>3.8333333333333335</c:v>
                </c:pt>
                <c:pt idx="10">
                  <c:v>3.875</c:v>
                </c:pt>
                <c:pt idx="11">
                  <c:v>4.333333333333333</c:v>
                </c:pt>
                <c:pt idx="12">
                  <c:v>3.5</c:v>
                </c:pt>
                <c:pt idx="13">
                  <c:v>5.4</c:v>
                </c:pt>
                <c:pt idx="14">
                  <c:v>5.375</c:v>
                </c:pt>
                <c:pt idx="15">
                  <c:v>3.3333333333333335</c:v>
                </c:pt>
                <c:pt idx="16">
                  <c:v>6.2</c:v>
                </c:pt>
                <c:pt idx="17">
                  <c:v>1.6666666666666667</c:v>
                </c:pt>
                <c:pt idx="18">
                  <c:v>4.5</c:v>
                </c:pt>
                <c:pt idx="19">
                  <c:v>7.666666666666667</c:v>
                </c:pt>
                <c:pt idx="20">
                  <c:v>4.4000000000000004</c:v>
                </c:pt>
                <c:pt idx="21">
                  <c:v>6.5</c:v>
                </c:pt>
                <c:pt idx="22">
                  <c:v>5</c:v>
                </c:pt>
                <c:pt idx="23">
                  <c:v>5.25</c:v>
                </c:pt>
                <c:pt idx="24">
                  <c:v>4.75</c:v>
                </c:pt>
                <c:pt idx="25">
                  <c:v>5</c:v>
                </c:pt>
                <c:pt idx="26">
                  <c:v>4</c:v>
                </c:pt>
                <c:pt idx="27">
                  <c:v>5.333333333333333</c:v>
                </c:pt>
                <c:pt idx="28">
                  <c:v>6</c:v>
                </c:pt>
                <c:pt idx="29">
                  <c:v>6.333333333333333</c:v>
                </c:pt>
              </c:numCache>
            </c:numRef>
          </c:val>
          <c:extLst>
            <c:ext xmlns:c16="http://schemas.microsoft.com/office/drawing/2014/chart" uri="{C3380CC4-5D6E-409C-BE32-E72D297353CC}">
              <c16:uniqueId val="{00000001-D494-4062-85A5-94D9476EC0CD}"/>
            </c:ext>
          </c:extLst>
        </c:ser>
        <c:dLbls>
          <c:showLegendKey val="0"/>
          <c:showVal val="0"/>
          <c:showCatName val="0"/>
          <c:showSerName val="0"/>
          <c:showPercent val="0"/>
          <c:showBubbleSize val="0"/>
        </c:dLbls>
        <c:axId val="51249712"/>
        <c:axId val="51246832"/>
      </c:areaChart>
      <c:catAx>
        <c:axId val="51249712"/>
        <c:scaling>
          <c:orientation val="minMax"/>
        </c:scaling>
        <c:delete val="1"/>
        <c:axPos val="b"/>
        <c:numFmt formatCode="General" sourceLinked="1"/>
        <c:majorTickMark val="out"/>
        <c:minorTickMark val="none"/>
        <c:tickLblPos val="nextTo"/>
        <c:crossAx val="51246832"/>
        <c:crosses val="autoZero"/>
        <c:auto val="1"/>
        <c:lblAlgn val="ctr"/>
        <c:lblOffset val="100"/>
        <c:noMultiLvlLbl val="0"/>
      </c:catAx>
      <c:valAx>
        <c:axId val="51246832"/>
        <c:scaling>
          <c:orientation val="minMax"/>
        </c:scaling>
        <c:delete val="1"/>
        <c:axPos val="l"/>
        <c:numFmt formatCode="0.00" sourceLinked="1"/>
        <c:majorTickMark val="none"/>
        <c:minorTickMark val="none"/>
        <c:tickLblPos val="nextTo"/>
        <c:crossAx val="51249712"/>
        <c:crosses val="autoZero"/>
        <c:crossBetween val="midCat"/>
      </c:valAx>
      <c:spPr>
        <a:noFill/>
        <a:ln>
          <a:noFill/>
        </a:ln>
        <a:effectLst/>
      </c:spPr>
    </c:plotArea>
    <c:plotVisOnly val="1"/>
    <c:dispBlanksAs val="zero"/>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[Project.xlsx]Pivot Report!PivotTable8</c:name>
    <c:fmtId val="5"/>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5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3.0555454910839549E-2"/>
          <c:y val="8.2956086191634082E-2"/>
          <c:w val="0.93888888888888888"/>
          <c:h val="0.62724262706854117"/>
        </c:manualLayout>
      </c:layout>
      <c:barChart>
        <c:barDir val="col"/>
        <c:grouping val="clustered"/>
        <c:varyColors val="0"/>
        <c:ser>
          <c:idx val="0"/>
          <c:order val="0"/>
          <c:tx>
            <c:strRef>
              <c:f>'Pivot Report'!$B$61</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5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Report'!$A$62:$A$70</c:f>
              <c:strCache>
                <c:ptCount val="8"/>
                <c:pt idx="0">
                  <c:v>0-9</c:v>
                </c:pt>
                <c:pt idx="1">
                  <c:v>10-19</c:v>
                </c:pt>
                <c:pt idx="2">
                  <c:v>20-29</c:v>
                </c:pt>
                <c:pt idx="3">
                  <c:v>30-39</c:v>
                </c:pt>
                <c:pt idx="4">
                  <c:v>40-49</c:v>
                </c:pt>
                <c:pt idx="5">
                  <c:v>50-59</c:v>
                </c:pt>
                <c:pt idx="6">
                  <c:v>60-69</c:v>
                </c:pt>
                <c:pt idx="7">
                  <c:v>70-79</c:v>
                </c:pt>
              </c:strCache>
            </c:strRef>
          </c:cat>
          <c:val>
            <c:numRef>
              <c:f>'Pivot Report'!$B$62:$B$70</c:f>
              <c:numCache>
                <c:formatCode>0</c:formatCode>
                <c:ptCount val="8"/>
                <c:pt idx="0">
                  <c:v>59</c:v>
                </c:pt>
                <c:pt idx="1">
                  <c:v>55</c:v>
                </c:pt>
                <c:pt idx="2">
                  <c:v>69</c:v>
                </c:pt>
                <c:pt idx="3">
                  <c:v>64</c:v>
                </c:pt>
                <c:pt idx="4">
                  <c:v>56</c:v>
                </c:pt>
                <c:pt idx="5">
                  <c:v>60</c:v>
                </c:pt>
                <c:pt idx="6">
                  <c:v>51</c:v>
                </c:pt>
                <c:pt idx="7">
                  <c:v>71</c:v>
                </c:pt>
              </c:numCache>
            </c:numRef>
          </c:val>
          <c:extLst>
            <c:ext xmlns:c16="http://schemas.microsoft.com/office/drawing/2014/chart" uri="{C3380CC4-5D6E-409C-BE32-E72D297353CC}">
              <c16:uniqueId val="{00000001-456A-47B3-B0FE-36651872BBBC}"/>
            </c:ext>
          </c:extLst>
        </c:ser>
        <c:dLbls>
          <c:showLegendKey val="0"/>
          <c:showVal val="0"/>
          <c:showCatName val="0"/>
          <c:showSerName val="0"/>
          <c:showPercent val="0"/>
          <c:showBubbleSize val="0"/>
        </c:dLbls>
        <c:gapWidth val="219"/>
        <c:overlap val="-27"/>
        <c:axId val="1105512880"/>
        <c:axId val="1105513360"/>
      </c:barChart>
      <c:catAx>
        <c:axId val="110551288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500" b="0" i="0" u="none" strike="noStrike" kern="1200" baseline="0">
                <a:solidFill>
                  <a:schemeClr val="tx1">
                    <a:lumMod val="65000"/>
                    <a:lumOff val="35000"/>
                  </a:schemeClr>
                </a:solidFill>
                <a:latin typeface="+mn-lt"/>
                <a:ea typeface="+mn-ea"/>
                <a:cs typeface="+mn-cs"/>
              </a:defRPr>
            </a:pPr>
            <a:endParaRPr lang="en-US"/>
          </a:p>
        </c:txPr>
        <c:crossAx val="1105513360"/>
        <c:crosses val="autoZero"/>
        <c:auto val="1"/>
        <c:lblAlgn val="ctr"/>
        <c:lblOffset val="100"/>
        <c:noMultiLvlLbl val="0"/>
      </c:catAx>
      <c:valAx>
        <c:axId val="1105513360"/>
        <c:scaling>
          <c:orientation val="minMax"/>
        </c:scaling>
        <c:delete val="1"/>
        <c:axPos val="l"/>
        <c:numFmt formatCode="0" sourceLinked="1"/>
        <c:majorTickMark val="none"/>
        <c:minorTickMark val="none"/>
        <c:tickLblPos val="nextTo"/>
        <c:crossAx val="1105512880"/>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userShapes r:id="rId3"/>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[Project.xlsx]Pivot Report!PivotTable9</c:name>
    <c:fmtId val="24"/>
  </c:pivotSource>
  <c:chart>
    <c:autoTitleDeleted val="1"/>
    <c:pivotFmts>
      <c:pivotFmt>
        <c:idx val="0"/>
        <c:spPr>
          <a:solidFill>
            <a:schemeClr val="accent1"/>
          </a:solidFill>
          <a:ln>
            <a:noFill/>
          </a:ln>
          <a:effectLst>
            <a:outerShdw blurRad="317500" algn="ctr" rotWithShape="0">
              <a:prstClr val="black">
                <a:alpha val="25000"/>
              </a:prstClr>
            </a:outerShdw>
          </a:effectLst>
        </c:spPr>
        <c:marker>
          <c:symbol val="circle"/>
          <c:size val="6"/>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0"/>
          <c:showCatName val="0"/>
          <c:showSerName val="0"/>
          <c:showPercent val="1"/>
          <c:showBubbleSize val="0"/>
          <c:extLst>
            <c:ext xmlns:c15="http://schemas.microsoft.com/office/drawing/2012/chart" uri="{CE6537A1-D6FC-4f65-9D91-7224C49458BB}"/>
          </c:extLst>
        </c:dLbl>
      </c:pivotFmt>
      <c:pivotFmt>
        <c:idx val="1"/>
        <c:spPr>
          <a:solidFill>
            <a:schemeClr val="accent1"/>
          </a:solidFill>
          <a:ln>
            <a:noFill/>
          </a:ln>
          <a:effectLst>
            <a:outerShdw blurRad="317500" algn="ctr" rotWithShape="0">
              <a:prstClr val="black">
                <a:alpha val="25000"/>
              </a:prst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0"/>
          <c:showCatName val="0"/>
          <c:showSerName val="0"/>
          <c:showPercent val="1"/>
          <c:showBubbleSize val="0"/>
          <c:extLst>
            <c:ext xmlns:c15="http://schemas.microsoft.com/office/drawing/2012/chart" uri="{CE6537A1-D6FC-4f65-9D91-7224C49458BB}"/>
          </c:extLst>
        </c:dLbl>
      </c:pivotFmt>
      <c:pivotFmt>
        <c:idx val="2"/>
        <c:spPr>
          <a:solidFill>
            <a:schemeClr val="accent1"/>
          </a:solidFill>
          <a:ln>
            <a:noFill/>
          </a:ln>
          <a:effectLst>
            <a:outerShdw blurRad="317500" algn="ctr" rotWithShape="0">
              <a:prstClr val="black">
                <a:alpha val="25000"/>
              </a:prstClr>
            </a:outerShdw>
          </a:effectLst>
        </c:spPr>
      </c:pivotFmt>
      <c:pivotFmt>
        <c:idx val="3"/>
        <c:spPr>
          <a:solidFill>
            <a:schemeClr val="accent1"/>
          </a:solidFill>
          <a:ln>
            <a:noFill/>
          </a:ln>
          <a:effectLst>
            <a:outerShdw blurRad="317500" algn="ctr" rotWithShape="0">
              <a:prstClr val="black">
                <a:alpha val="25000"/>
              </a:prstClr>
            </a:outerShdw>
          </a:effectLst>
        </c:spPr>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600" b="1" i="0" u="none" strike="noStrike" kern="1200" baseline="0">
                  <a:solidFill>
                    <a:schemeClr val="lt1"/>
                  </a:solidFill>
                  <a:latin typeface="+mn-lt"/>
                  <a:ea typeface="+mn-ea"/>
                  <a:cs typeface="+mn-cs"/>
                </a:defRPr>
              </a:pPr>
              <a:endParaRPr lang="en-US"/>
            </a:p>
          </c:txPr>
          <c:dLblPos val="inEnd"/>
          <c:showLegendKey val="0"/>
          <c:showVal val="0"/>
          <c:showCatName val="0"/>
          <c:showSerName val="0"/>
          <c:showPercent val="1"/>
          <c:showBubbleSize val="0"/>
          <c:extLst>
            <c:ext xmlns:c15="http://schemas.microsoft.com/office/drawing/2012/chart" uri="{CE6537A1-D6FC-4f65-9D91-7224C49458BB}"/>
          </c:extLst>
        </c:dLbl>
      </c:pivotFmt>
      <c:pivotFmt>
        <c:idx val="5"/>
        <c:spPr>
          <a:solidFill>
            <a:schemeClr val="accent1"/>
          </a:solidFill>
          <a:ln>
            <a:noFill/>
          </a:ln>
          <a:effectLst/>
        </c:spPr>
      </c:pivotFmt>
      <c:pivotFmt>
        <c:idx val="6"/>
        <c:spPr>
          <a:solidFill>
            <a:schemeClr val="accent1"/>
          </a:solidFill>
          <a:ln>
            <a:noFill/>
          </a:ln>
          <a:effectLst/>
        </c:spPr>
      </c:pivotFmt>
    </c:pivotFmts>
    <c:plotArea>
      <c:layout>
        <c:manualLayout>
          <c:layoutTarget val="inner"/>
          <c:xMode val="edge"/>
          <c:yMode val="edge"/>
          <c:x val="3.1782702791652677E-2"/>
          <c:y val="0.15326247276762156"/>
          <c:w val="0.92558581995379441"/>
          <c:h val="0.84673752723237838"/>
        </c:manualLayout>
      </c:layout>
      <c:pieChart>
        <c:varyColors val="1"/>
        <c:ser>
          <c:idx val="0"/>
          <c:order val="0"/>
          <c:tx>
            <c:strRef>
              <c:f>'Pivot Report'!$B$78</c:f>
              <c:strCache>
                <c:ptCount val="1"/>
                <c:pt idx="0">
                  <c:v>Total</c:v>
                </c:pt>
              </c:strCache>
            </c:strRef>
          </c:tx>
          <c:spPr>
            <a:effectLst/>
          </c:spPr>
          <c:dPt>
            <c:idx val="0"/>
            <c:bubble3D val="0"/>
            <c:spPr>
              <a:solidFill>
                <a:schemeClr val="accent1"/>
              </a:solidFill>
              <a:ln>
                <a:noFill/>
              </a:ln>
              <a:effectLst/>
            </c:spPr>
            <c:extLst>
              <c:ext xmlns:c16="http://schemas.microsoft.com/office/drawing/2014/chart" uri="{C3380CC4-5D6E-409C-BE32-E72D297353CC}">
                <c16:uniqueId val="{00000001-0E3F-44D8-AE92-D1AA958A1BF1}"/>
              </c:ext>
            </c:extLst>
          </c:dPt>
          <c:dPt>
            <c:idx val="1"/>
            <c:bubble3D val="0"/>
            <c:spPr>
              <a:solidFill>
                <a:schemeClr val="accent2"/>
              </a:solidFill>
              <a:ln>
                <a:noFill/>
              </a:ln>
              <a:effectLst/>
            </c:spPr>
            <c:extLst>
              <c:ext xmlns:c16="http://schemas.microsoft.com/office/drawing/2014/chart" uri="{C3380CC4-5D6E-409C-BE32-E72D297353CC}">
                <c16:uniqueId val="{00000003-0E3F-44D8-AE92-D1AA958A1BF1}"/>
              </c:ext>
            </c:extLst>
          </c:dPt>
          <c:dLbls>
            <c:spPr>
              <a:noFill/>
              <a:ln>
                <a:noFill/>
              </a:ln>
              <a:effectLst/>
            </c:spPr>
            <c:txPr>
              <a:bodyPr rot="0" spcFirstLastPara="1" vertOverflow="ellipsis" vert="horz" wrap="square" lIns="38100" tIns="19050" rIns="38100" bIns="19050" anchor="ctr" anchorCtr="1">
                <a:spAutoFit/>
              </a:bodyPr>
              <a:lstStyle/>
              <a:p>
                <a:pPr>
                  <a:defRPr sz="600" b="1" i="0" u="none" strike="noStrike" kern="1200" baseline="0">
                    <a:solidFill>
                      <a:schemeClr val="lt1"/>
                    </a:solidFill>
                    <a:latin typeface="+mn-lt"/>
                    <a:ea typeface="+mn-ea"/>
                    <a:cs typeface="+mn-cs"/>
                  </a:defRPr>
                </a:pPr>
                <a:endParaRPr lang="en-US"/>
              </a:p>
            </c:txPr>
            <c:dLblPos val="inEnd"/>
            <c:showLegendKey val="0"/>
            <c:showVal val="0"/>
            <c:showCatName val="0"/>
            <c:showSerName val="0"/>
            <c:showPercent val="1"/>
            <c:showBubbleSize val="0"/>
            <c:showLeaderLines val="1"/>
            <c:leaderLines>
              <c:spPr>
                <a:ln w="9525" cap="flat" cmpd="sng" algn="ctr">
                  <a:solidFill>
                    <a:schemeClr val="dk1">
                      <a:lumMod val="35000"/>
                      <a:lumOff val="65000"/>
                    </a:schemeClr>
                  </a:solidFill>
                  <a:round/>
                </a:ln>
                <a:effectLst/>
              </c:spPr>
            </c:leaderLines>
            <c:extLst>
              <c:ext xmlns:c15="http://schemas.microsoft.com/office/drawing/2012/chart" uri="{CE6537A1-D6FC-4f65-9D91-7224C49458BB}"/>
            </c:extLst>
          </c:dLbls>
          <c:cat>
            <c:strRef>
              <c:f>'Pivot Report'!$A$79:$A$81</c:f>
              <c:strCache>
                <c:ptCount val="2"/>
                <c:pt idx="0">
                  <c:v>Delay</c:v>
                </c:pt>
                <c:pt idx="1">
                  <c:v>Ontime</c:v>
                </c:pt>
              </c:strCache>
            </c:strRef>
          </c:cat>
          <c:val>
            <c:numRef>
              <c:f>'Pivot Report'!$B$79:$B$81</c:f>
              <c:numCache>
                <c:formatCode>0</c:formatCode>
                <c:ptCount val="2"/>
                <c:pt idx="0">
                  <c:v>297</c:v>
                </c:pt>
                <c:pt idx="1">
                  <c:v>188</c:v>
                </c:pt>
              </c:numCache>
            </c:numRef>
          </c:val>
          <c:extLst>
            <c:ext xmlns:c16="http://schemas.microsoft.com/office/drawing/2014/chart" uri="{C3380CC4-5D6E-409C-BE32-E72D297353CC}">
              <c16:uniqueId val="{00000005-EE21-4614-92F3-BD5575364FE5}"/>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layout>
        <c:manualLayout>
          <c:xMode val="edge"/>
          <c:yMode val="edge"/>
          <c:x val="0"/>
          <c:y val="0"/>
          <c:w val="0.98892257217847768"/>
          <c:h val="0.14501062961671426"/>
        </c:manualLayout>
      </c:layout>
      <c:overlay val="0"/>
      <c:spPr>
        <a:noFill/>
        <a:ln>
          <a:noFill/>
        </a:ln>
        <a:effectLst/>
      </c:spPr>
      <c:txPr>
        <a:bodyPr rot="0" spcFirstLastPara="1" vertOverflow="ellipsis" vert="horz" wrap="square" anchor="ctr" anchorCtr="1"/>
        <a:lstStyle/>
        <a:p>
          <a:pPr>
            <a:defRPr sz="700" b="0" i="0" u="none" strike="noStrike" kern="1200" baseline="0">
              <a:solidFill>
                <a:schemeClr val="dk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[Project.xlsx]Pivot Report!PivotTable10</c:name>
    <c:fmtId val="28"/>
  </c:pivotSource>
  <c:chart>
    <c:autoTitleDeleted val="1"/>
    <c:pivotFmts>
      <c:pivotFmt>
        <c:idx val="0"/>
        <c:spPr>
          <a:solidFill>
            <a:schemeClr val="accent1"/>
          </a:solidFill>
          <a:ln>
            <a:noFill/>
          </a:ln>
          <a:effectLst>
            <a:outerShdw blurRad="317500" algn="ctr" rotWithShape="0">
              <a:prstClr val="black">
                <a:alpha val="25000"/>
              </a:prstClr>
            </a:outerShdw>
          </a:effectLst>
        </c:spPr>
        <c:marker>
          <c:symbol val="circle"/>
          <c:size val="6"/>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1"/>
        <c:spPr>
          <a:solidFill>
            <a:schemeClr val="accent1"/>
          </a:solidFill>
          <a:ln>
            <a:noFill/>
          </a:ln>
          <a:effectLst>
            <a:outerShdw blurRad="317500" algn="ctr" rotWithShape="0">
              <a:prstClr val="black">
                <a:alpha val="25000"/>
              </a:prst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2"/>
        <c:spPr>
          <a:solidFill>
            <a:schemeClr val="accent1"/>
          </a:solidFill>
          <a:ln>
            <a:noFill/>
          </a:ln>
          <a:effectLst>
            <a:outerShdw blurRad="317500" algn="ctr" rotWithShape="0">
              <a:prstClr val="black">
                <a:alpha val="25000"/>
              </a:prstClr>
            </a:outerShdw>
          </a:effectLst>
        </c:spPr>
      </c:pivotFmt>
      <c:pivotFmt>
        <c:idx val="3"/>
        <c:spPr>
          <a:solidFill>
            <a:schemeClr val="accent1"/>
          </a:solidFill>
          <a:ln>
            <a:noFill/>
          </a:ln>
          <a:effectLst>
            <a:outerShdw blurRad="317500" algn="ctr" rotWithShape="0">
              <a:prstClr val="black">
                <a:alpha val="25000"/>
              </a:prstClr>
            </a:outerShdw>
          </a:effectLst>
        </c:spPr>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6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5"/>
        <c:spPr>
          <a:solidFill>
            <a:schemeClr val="accent1"/>
          </a:solidFill>
          <a:ln>
            <a:noFill/>
          </a:ln>
          <a:effectLst/>
        </c:spPr>
      </c:pivotFmt>
      <c:pivotFmt>
        <c:idx val="6"/>
        <c:spPr>
          <a:solidFill>
            <a:schemeClr val="accent1"/>
          </a:solidFill>
          <a:ln>
            <a:noFill/>
          </a:ln>
          <a:effectLst/>
        </c:spPr>
      </c:pivotFmt>
    </c:pivotFmts>
    <c:plotArea>
      <c:layout>
        <c:manualLayout>
          <c:layoutTarget val="inner"/>
          <c:xMode val="edge"/>
          <c:yMode val="edge"/>
          <c:x val="0.12069346785203797"/>
          <c:y val="0.12586609914956162"/>
          <c:w val="0.77741117727368869"/>
          <c:h val="0.7385410030347247"/>
        </c:manualLayout>
      </c:layout>
      <c:doughnutChart>
        <c:varyColors val="1"/>
        <c:ser>
          <c:idx val="0"/>
          <c:order val="0"/>
          <c:tx>
            <c:strRef>
              <c:f>'Pivot Report'!$B$86</c:f>
              <c:strCache>
                <c:ptCount val="1"/>
                <c:pt idx="0">
                  <c:v>Total</c:v>
                </c:pt>
              </c:strCache>
            </c:strRef>
          </c:tx>
          <c:spPr>
            <a:effectLst/>
          </c:spPr>
          <c:dPt>
            <c:idx val="0"/>
            <c:bubble3D val="0"/>
            <c:spPr>
              <a:solidFill>
                <a:schemeClr val="accent1"/>
              </a:solidFill>
              <a:ln>
                <a:noFill/>
              </a:ln>
              <a:effectLst/>
            </c:spPr>
            <c:extLst>
              <c:ext xmlns:c16="http://schemas.microsoft.com/office/drawing/2014/chart" uri="{C3380CC4-5D6E-409C-BE32-E72D297353CC}">
                <c16:uniqueId val="{00000001-FF03-4519-9EB6-81E8EF4FEF0F}"/>
              </c:ext>
            </c:extLst>
          </c:dPt>
          <c:dPt>
            <c:idx val="1"/>
            <c:bubble3D val="0"/>
            <c:spPr>
              <a:solidFill>
                <a:schemeClr val="accent2"/>
              </a:solidFill>
              <a:ln>
                <a:noFill/>
              </a:ln>
              <a:effectLst/>
            </c:spPr>
            <c:extLst>
              <c:ext xmlns:c16="http://schemas.microsoft.com/office/drawing/2014/chart" uri="{C3380CC4-5D6E-409C-BE32-E72D297353CC}">
                <c16:uniqueId val="{00000003-FF03-4519-9EB6-81E8EF4FEF0F}"/>
              </c:ext>
            </c:extLst>
          </c:dPt>
          <c:dLbls>
            <c:spPr>
              <a:noFill/>
              <a:ln>
                <a:noFill/>
              </a:ln>
              <a:effectLst/>
            </c:spPr>
            <c:txPr>
              <a:bodyPr rot="0" spcFirstLastPara="1" vertOverflow="ellipsis" vert="horz" wrap="square" lIns="38100" tIns="19050" rIns="38100" bIns="19050" anchor="ctr" anchorCtr="1">
                <a:spAutoFit/>
              </a:bodyPr>
              <a:lstStyle/>
              <a:p>
                <a:pPr>
                  <a:defRPr sz="6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showLeaderLines val="1"/>
            <c:leaderLines>
              <c:spPr>
                <a:ln w="9525" cap="flat" cmpd="sng" algn="ctr">
                  <a:solidFill>
                    <a:schemeClr val="dk1">
                      <a:lumMod val="35000"/>
                      <a:lumOff val="65000"/>
                    </a:schemeClr>
                  </a:solidFill>
                  <a:round/>
                </a:ln>
                <a:effectLst/>
              </c:spPr>
            </c:leaderLines>
            <c:extLst>
              <c:ext xmlns:c15="http://schemas.microsoft.com/office/drawing/2012/chart" uri="{CE6537A1-D6FC-4f65-9D91-7224C49458BB}"/>
            </c:extLst>
          </c:dLbls>
          <c:cat>
            <c:strRef>
              <c:f>'Pivot Report'!$A$87:$A$89</c:f>
              <c:strCache>
                <c:ptCount val="2"/>
                <c:pt idx="0">
                  <c:v>Female</c:v>
                </c:pt>
                <c:pt idx="1">
                  <c:v>Male</c:v>
                </c:pt>
              </c:strCache>
            </c:strRef>
          </c:cat>
          <c:val>
            <c:numRef>
              <c:f>'Pivot Report'!$B$87:$B$89</c:f>
              <c:numCache>
                <c:formatCode>0</c:formatCode>
                <c:ptCount val="2"/>
                <c:pt idx="0">
                  <c:v>239</c:v>
                </c:pt>
                <c:pt idx="1">
                  <c:v>246</c:v>
                </c:pt>
              </c:numCache>
            </c:numRef>
          </c:val>
          <c:extLst>
            <c:ext xmlns:c16="http://schemas.microsoft.com/office/drawing/2014/chart" uri="{C3380CC4-5D6E-409C-BE32-E72D297353CC}">
              <c16:uniqueId val="{00000005-0BD4-4B29-9BEF-4E900842E932}"/>
            </c:ext>
          </c:extLst>
        </c:ser>
        <c:dLbls>
          <c:showLegendKey val="0"/>
          <c:showVal val="0"/>
          <c:showCatName val="0"/>
          <c:showSerName val="0"/>
          <c:showPercent val="1"/>
          <c:showBubbleSize val="0"/>
          <c:showLeaderLines val="1"/>
        </c:dLbls>
        <c:firstSliceAng val="0"/>
        <c:holeSize val="70"/>
      </c:doughnutChart>
      <c:spPr>
        <a:noFill/>
        <a:ln>
          <a:noFill/>
        </a:ln>
        <a:effectLst/>
      </c:spPr>
    </c:plotArea>
    <c:legend>
      <c:legendPos val="r"/>
      <c:layout>
        <c:manualLayout>
          <c:xMode val="edge"/>
          <c:yMode val="edge"/>
          <c:x val="9.351714010222968E-4"/>
          <c:y val="2.8355934674832307E-2"/>
          <c:w val="0.97857013180349295"/>
          <c:h val="0.10791806624026769"/>
        </c:manualLayout>
      </c:layout>
      <c:overlay val="0"/>
      <c:spPr>
        <a:noFill/>
        <a:ln>
          <a:noFill/>
        </a:ln>
        <a:effectLst/>
      </c:spPr>
      <c:txPr>
        <a:bodyPr rot="0" spcFirstLastPara="1" vertOverflow="ellipsis" vert="horz" wrap="square" anchor="ctr" anchorCtr="1"/>
        <a:lstStyle/>
        <a:p>
          <a:pPr>
            <a:defRPr sz="700" b="0" i="0" u="none" strike="noStrike" kern="1200" baseline="0">
              <a:solidFill>
                <a:schemeClr val="dk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[Project.xlsx]Pivot Report!PivotTable11</c:name>
    <c:fmtId val="32"/>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7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29285690090441929"/>
          <c:y val="2.5663720390735195E-2"/>
          <c:w val="0.67677660903542558"/>
          <c:h val="0.80324481033769679"/>
        </c:manualLayout>
      </c:layout>
      <c:barChart>
        <c:barDir val="bar"/>
        <c:grouping val="clustered"/>
        <c:varyColors val="0"/>
        <c:ser>
          <c:idx val="0"/>
          <c:order val="0"/>
          <c:tx>
            <c:strRef>
              <c:f>'Pivot Report'!$B$94</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7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Report'!$A$95:$A$103</c:f>
              <c:strCache>
                <c:ptCount val="8"/>
                <c:pt idx="0">
                  <c:v>Renal</c:v>
                </c:pt>
                <c:pt idx="1">
                  <c:v>Physiotherapy</c:v>
                </c:pt>
                <c:pt idx="2">
                  <c:v>Neurology</c:v>
                </c:pt>
                <c:pt idx="3">
                  <c:v>Gastroenterology</c:v>
                </c:pt>
                <c:pt idx="4">
                  <c:v>Cardiology</c:v>
                </c:pt>
                <c:pt idx="5">
                  <c:v>Orthopedics</c:v>
                </c:pt>
                <c:pt idx="6">
                  <c:v>General Practice</c:v>
                </c:pt>
                <c:pt idx="7">
                  <c:v>None</c:v>
                </c:pt>
              </c:strCache>
            </c:strRef>
          </c:cat>
          <c:val>
            <c:numRef>
              <c:f>'Pivot Report'!$B$95:$B$103</c:f>
              <c:numCache>
                <c:formatCode>0</c:formatCode>
                <c:ptCount val="8"/>
                <c:pt idx="0">
                  <c:v>2</c:v>
                </c:pt>
                <c:pt idx="1">
                  <c:v>11</c:v>
                </c:pt>
                <c:pt idx="2">
                  <c:v>12</c:v>
                </c:pt>
                <c:pt idx="3">
                  <c:v>12</c:v>
                </c:pt>
                <c:pt idx="4">
                  <c:v>13</c:v>
                </c:pt>
                <c:pt idx="5">
                  <c:v>53</c:v>
                </c:pt>
                <c:pt idx="6">
                  <c:v>91</c:v>
                </c:pt>
                <c:pt idx="7">
                  <c:v>291</c:v>
                </c:pt>
              </c:numCache>
            </c:numRef>
          </c:val>
          <c:extLst>
            <c:ext xmlns:c16="http://schemas.microsoft.com/office/drawing/2014/chart" uri="{C3380CC4-5D6E-409C-BE32-E72D297353CC}">
              <c16:uniqueId val="{00000001-3275-4C45-8686-122653C323C1}"/>
            </c:ext>
          </c:extLst>
        </c:ser>
        <c:dLbls>
          <c:showLegendKey val="0"/>
          <c:showVal val="0"/>
          <c:showCatName val="0"/>
          <c:showSerName val="0"/>
          <c:showPercent val="0"/>
          <c:showBubbleSize val="0"/>
        </c:dLbls>
        <c:gapWidth val="30"/>
        <c:axId val="321383423"/>
        <c:axId val="321381503"/>
      </c:barChart>
      <c:catAx>
        <c:axId val="321383423"/>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700" b="0" i="0" u="none" strike="noStrike" kern="1200" baseline="0">
                <a:solidFill>
                  <a:schemeClr val="tx1">
                    <a:lumMod val="65000"/>
                    <a:lumOff val="35000"/>
                  </a:schemeClr>
                </a:solidFill>
                <a:latin typeface="+mn-lt"/>
                <a:ea typeface="+mn-ea"/>
                <a:cs typeface="+mn-cs"/>
              </a:defRPr>
            </a:pPr>
            <a:endParaRPr lang="en-US"/>
          </a:p>
        </c:txPr>
        <c:crossAx val="321381503"/>
        <c:crosses val="autoZero"/>
        <c:auto val="1"/>
        <c:lblAlgn val="ctr"/>
        <c:lblOffset val="100"/>
        <c:noMultiLvlLbl val="0"/>
      </c:catAx>
      <c:valAx>
        <c:axId val="321381503"/>
        <c:scaling>
          <c:orientation val="minMax"/>
        </c:scaling>
        <c:delete val="1"/>
        <c:axPos val="b"/>
        <c:numFmt formatCode="0" sourceLinked="1"/>
        <c:majorTickMark val="none"/>
        <c:minorTickMark val="none"/>
        <c:tickLblPos val="nextTo"/>
        <c:crossAx val="32138342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[Project.xlsx]Pivot Report!PivotTable4</c:name>
    <c:fmtId val="9"/>
  </c:pivotSource>
  <c:chart>
    <c:autoTitleDeleted val="1"/>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spPr>
          <a:gradFill>
            <a:gsLst>
              <a:gs pos="0">
                <a:schemeClr val="lt1">
                  <a:alpha val="50000"/>
                </a:schemeClr>
              </a:gs>
              <a:gs pos="100000">
                <a:schemeClr val="lt1">
                  <a:alpha val="0"/>
                </a:schemeClr>
              </a:gs>
            </a:gsLst>
            <a:lin ang="5400000" scaled="0"/>
          </a:gradFill>
          <a:ln>
            <a:solidFill>
              <a:schemeClr val="accent1"/>
            </a:solidFill>
          </a:ln>
          <a:effectLst>
            <a:innerShdw dist="38100" dir="16200000">
              <a:schemeClr val="lt1"/>
            </a:inn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2.2749775521480869E-2"/>
          <c:y val="8.8102793121009132E-2"/>
          <c:w val="0.9487573387208178"/>
          <c:h val="0.78439515605103816"/>
        </c:manualLayout>
      </c:layout>
      <c:areaChart>
        <c:grouping val="standard"/>
        <c:varyColors val="0"/>
        <c:ser>
          <c:idx val="0"/>
          <c:order val="0"/>
          <c:tx>
            <c:strRef>
              <c:f>'Pivot Report'!$E$4</c:f>
              <c:strCache>
                <c:ptCount val="1"/>
                <c:pt idx="0">
                  <c:v>Total</c:v>
                </c:pt>
              </c:strCache>
            </c:strRef>
          </c:tx>
          <c:spPr>
            <a:gradFill>
              <a:gsLst>
                <a:gs pos="0">
                  <a:schemeClr val="lt1">
                    <a:alpha val="50000"/>
                  </a:schemeClr>
                </a:gs>
                <a:gs pos="100000">
                  <a:schemeClr val="lt1">
                    <a:alpha val="0"/>
                  </a:schemeClr>
                </a:gs>
              </a:gsLst>
              <a:lin ang="5400000" scaled="0"/>
            </a:gradFill>
            <a:ln>
              <a:solidFill>
                <a:schemeClr val="accent1"/>
              </a:solidFill>
            </a:ln>
            <a:effectLst>
              <a:innerShdw dist="38100" dir="16200000">
                <a:schemeClr val="lt1"/>
              </a:innerShdw>
            </a:effectLst>
          </c:spPr>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accent1">
                          <a:lumMod val="60000"/>
                          <a:lumOff val="40000"/>
                        </a:schemeClr>
                      </a:solidFill>
                    </a:ln>
                    <a:effectLst/>
                  </c:spPr>
                </c15:leaderLines>
              </c:ext>
            </c:extLst>
          </c:dLbls>
          <c:cat>
            <c:strRef>
              <c:f>'Pivot Report'!$D$5:$D$35</c:f>
              <c:strCache>
                <c:ptCount val="30"/>
                <c:pt idx="0">
                  <c:v>1-Jun</c:v>
                </c:pt>
                <c:pt idx="1">
                  <c:v>2-Jun</c:v>
                </c:pt>
                <c:pt idx="2">
                  <c:v>3-Jun</c:v>
                </c:pt>
                <c:pt idx="3">
                  <c:v>4-Jun</c:v>
                </c:pt>
                <c:pt idx="4">
                  <c:v>5-Jun</c:v>
                </c:pt>
                <c:pt idx="5">
                  <c:v>6-Jun</c:v>
                </c:pt>
                <c:pt idx="6">
                  <c:v>7-Jun</c:v>
                </c:pt>
                <c:pt idx="7">
                  <c:v>8-Jun</c:v>
                </c:pt>
                <c:pt idx="8">
                  <c:v>9-Jun</c:v>
                </c:pt>
                <c:pt idx="9">
                  <c:v>10-Jun</c:v>
                </c:pt>
                <c:pt idx="10">
                  <c:v>11-Jun</c:v>
                </c:pt>
                <c:pt idx="11">
                  <c:v>12-Jun</c:v>
                </c:pt>
                <c:pt idx="12">
                  <c:v>13-Jun</c:v>
                </c:pt>
                <c:pt idx="13">
                  <c:v>14-Jun</c:v>
                </c:pt>
                <c:pt idx="14">
                  <c:v>15-Jun</c:v>
                </c:pt>
                <c:pt idx="15">
                  <c:v>16-Jun</c:v>
                </c:pt>
                <c:pt idx="16">
                  <c:v>17-Jun</c:v>
                </c:pt>
                <c:pt idx="17">
                  <c:v>18-Jun</c:v>
                </c:pt>
                <c:pt idx="18">
                  <c:v>19-Jun</c:v>
                </c:pt>
                <c:pt idx="19">
                  <c:v>20-Jun</c:v>
                </c:pt>
                <c:pt idx="20">
                  <c:v>21-Jun</c:v>
                </c:pt>
                <c:pt idx="21">
                  <c:v>22-Jun</c:v>
                </c:pt>
                <c:pt idx="22">
                  <c:v>23-Jun</c:v>
                </c:pt>
                <c:pt idx="23">
                  <c:v>24-Jun</c:v>
                </c:pt>
                <c:pt idx="24">
                  <c:v>25-Jun</c:v>
                </c:pt>
                <c:pt idx="25">
                  <c:v>26-Jun</c:v>
                </c:pt>
                <c:pt idx="26">
                  <c:v>27-Jun</c:v>
                </c:pt>
                <c:pt idx="27">
                  <c:v>28-Jun</c:v>
                </c:pt>
                <c:pt idx="28">
                  <c:v>29-Jun</c:v>
                </c:pt>
                <c:pt idx="29">
                  <c:v>30-Jun</c:v>
                </c:pt>
              </c:strCache>
            </c:strRef>
          </c:cat>
          <c:val>
            <c:numRef>
              <c:f>'Pivot Report'!$E$5:$E$35</c:f>
              <c:numCache>
                <c:formatCode>General</c:formatCode>
                <c:ptCount val="30"/>
                <c:pt idx="0">
                  <c:v>17</c:v>
                </c:pt>
                <c:pt idx="1">
                  <c:v>10</c:v>
                </c:pt>
                <c:pt idx="2">
                  <c:v>23</c:v>
                </c:pt>
                <c:pt idx="3">
                  <c:v>15</c:v>
                </c:pt>
                <c:pt idx="4">
                  <c:v>14</c:v>
                </c:pt>
                <c:pt idx="5">
                  <c:v>11</c:v>
                </c:pt>
                <c:pt idx="6">
                  <c:v>15</c:v>
                </c:pt>
                <c:pt idx="7">
                  <c:v>20</c:v>
                </c:pt>
                <c:pt idx="8">
                  <c:v>21</c:v>
                </c:pt>
                <c:pt idx="9">
                  <c:v>17</c:v>
                </c:pt>
                <c:pt idx="10">
                  <c:v>17</c:v>
                </c:pt>
                <c:pt idx="11">
                  <c:v>17</c:v>
                </c:pt>
                <c:pt idx="12">
                  <c:v>17</c:v>
                </c:pt>
                <c:pt idx="13">
                  <c:v>11</c:v>
                </c:pt>
                <c:pt idx="14">
                  <c:v>23</c:v>
                </c:pt>
                <c:pt idx="15">
                  <c:v>14</c:v>
                </c:pt>
                <c:pt idx="16">
                  <c:v>22</c:v>
                </c:pt>
                <c:pt idx="17">
                  <c:v>16</c:v>
                </c:pt>
                <c:pt idx="18">
                  <c:v>13</c:v>
                </c:pt>
                <c:pt idx="19">
                  <c:v>14</c:v>
                </c:pt>
                <c:pt idx="20">
                  <c:v>12</c:v>
                </c:pt>
                <c:pt idx="21">
                  <c:v>12</c:v>
                </c:pt>
                <c:pt idx="22">
                  <c:v>20</c:v>
                </c:pt>
                <c:pt idx="23">
                  <c:v>19</c:v>
                </c:pt>
                <c:pt idx="24">
                  <c:v>13</c:v>
                </c:pt>
                <c:pt idx="25">
                  <c:v>15</c:v>
                </c:pt>
                <c:pt idx="26">
                  <c:v>19</c:v>
                </c:pt>
                <c:pt idx="27">
                  <c:v>17</c:v>
                </c:pt>
                <c:pt idx="28">
                  <c:v>15</c:v>
                </c:pt>
                <c:pt idx="29">
                  <c:v>16</c:v>
                </c:pt>
              </c:numCache>
            </c:numRef>
          </c:val>
          <c:extLst>
            <c:ext xmlns:c16="http://schemas.microsoft.com/office/drawing/2014/chart" uri="{C3380CC4-5D6E-409C-BE32-E72D297353CC}">
              <c16:uniqueId val="{00000001-496F-4092-92CA-005108A1AE42}"/>
            </c:ext>
          </c:extLst>
        </c:ser>
        <c:dLbls>
          <c:showLegendKey val="0"/>
          <c:showVal val="1"/>
          <c:showCatName val="0"/>
          <c:showSerName val="0"/>
          <c:showPercent val="0"/>
          <c:showBubbleSize val="0"/>
        </c:dLbls>
        <c:dropLines>
          <c:spPr>
            <a:ln w="9525" cap="flat" cmpd="sng" algn="ctr">
              <a:gradFill>
                <a:gsLst>
                  <a:gs pos="0">
                    <a:schemeClr val="lt1"/>
                  </a:gs>
                  <a:gs pos="50000">
                    <a:schemeClr val="lt1">
                      <a:alpha val="0"/>
                    </a:schemeClr>
                  </a:gs>
                </a:gsLst>
                <a:lin ang="5400000" scaled="0"/>
              </a:gradFill>
              <a:round/>
            </a:ln>
            <a:effectLst/>
          </c:spPr>
        </c:dropLines>
        <c:axId val="318466831"/>
        <c:axId val="318466351"/>
      </c:areaChart>
      <c:catAx>
        <c:axId val="318466831"/>
        <c:scaling>
          <c:orientation val="minMax"/>
        </c:scaling>
        <c:delete val="0"/>
        <c:axPos val="b"/>
        <c:numFmt formatCode="General" sourceLinked="1"/>
        <c:majorTickMark val="none"/>
        <c:minorTickMark val="none"/>
        <c:tickLblPos val="nextTo"/>
        <c:spPr>
          <a:noFill/>
          <a:ln w="9525" cap="flat" cmpd="sng" algn="ctr">
            <a:solidFill>
              <a:schemeClr val="accent1">
                <a:lumMod val="40000"/>
                <a:lumOff val="60000"/>
                <a:alpha val="25000"/>
              </a:schemeClr>
            </a:solidFill>
            <a:round/>
          </a:ln>
          <a:effectLst/>
        </c:spPr>
        <c:txPr>
          <a:bodyPr rot="-60000000" spcFirstLastPara="1" vertOverflow="ellipsis" vert="horz" wrap="square" anchor="ctr" anchorCtr="1"/>
          <a:lstStyle/>
          <a:p>
            <a:pPr>
              <a:defRPr sz="900" b="0" i="0" u="none" strike="noStrike" kern="1200" baseline="0">
                <a:solidFill>
                  <a:schemeClr val="lt1"/>
                </a:solidFill>
                <a:latin typeface="+mn-lt"/>
                <a:ea typeface="+mn-ea"/>
                <a:cs typeface="+mn-cs"/>
              </a:defRPr>
            </a:pPr>
            <a:endParaRPr lang="en-US"/>
          </a:p>
        </c:txPr>
        <c:crossAx val="318466351"/>
        <c:crosses val="autoZero"/>
        <c:auto val="1"/>
        <c:lblAlgn val="ctr"/>
        <c:lblOffset val="100"/>
        <c:noMultiLvlLbl val="0"/>
      </c:catAx>
      <c:valAx>
        <c:axId val="318466351"/>
        <c:scaling>
          <c:orientation val="minMax"/>
        </c:scaling>
        <c:delete val="1"/>
        <c:axPos val="l"/>
        <c:numFmt formatCode="General" sourceLinked="1"/>
        <c:majorTickMark val="out"/>
        <c:minorTickMark val="none"/>
        <c:tickLblPos val="nextTo"/>
        <c:crossAx val="318466831"/>
        <c:crosses val="autoZero"/>
        <c:crossBetween val="midCat"/>
      </c:valAx>
      <c:spPr>
        <a:noFill/>
        <a:ln>
          <a:noFill/>
        </a:ln>
        <a:effectLst/>
      </c:spPr>
    </c:plotArea>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accent1"/>
    </a:solidFill>
    <a:ln w="9525" cap="flat" cmpd="sng" algn="ctr">
      <a:solidFill>
        <a:schemeClr val="accent1"/>
      </a:solidFill>
      <a:round/>
    </a:ln>
    <a:effectLst/>
  </c:spPr>
  <c:txPr>
    <a:bodyPr/>
    <a:lstStyle/>
    <a:p>
      <a:pPr>
        <a:defRPr/>
      </a:pPr>
      <a:endParaRPr lang="en-US"/>
    </a:p>
  </c:txPr>
  <c:printSettings>
    <c:headerFooter/>
    <c:pageMargins b="0.75" l="0.7" r="0.7" t="0.75" header="0.3" footer="0.3"/>
    <c:pageSetup/>
  </c:printSettings>
  <c:userShapes r:id="rId3"/>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[Project.xlsx]Pivot Report!PivotTable5</c:name>
    <c:fmtId val="17"/>
  </c:pivotSource>
  <c:chart>
    <c:autoTitleDeleted val="1"/>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dLbl>
          <c:idx val="0"/>
          <c:showLegendKey val="0"/>
          <c:showVal val="0"/>
          <c:showCatName val="0"/>
          <c:showSerName val="0"/>
          <c:showPercent val="0"/>
          <c:showBubbleSize val="0"/>
          <c:extLst>
            <c:ext xmlns:c15="http://schemas.microsoft.com/office/drawing/2012/chart" uri="{CE6537A1-D6FC-4f65-9D91-7224C49458BB}"/>
          </c:extLst>
        </c:dLbl>
      </c:pivotFmt>
      <c:pivotFmt>
        <c:idx val="5"/>
        <c:spPr>
          <a:gradFill>
            <a:gsLst>
              <a:gs pos="0">
                <a:schemeClr val="lt1">
                  <a:alpha val="50000"/>
                </a:schemeClr>
              </a:gs>
              <a:gs pos="100000">
                <a:schemeClr val="lt1">
                  <a:alpha val="0"/>
                </a:schemeClr>
              </a:gs>
            </a:gsLst>
            <a:lin ang="5400000" scaled="0"/>
          </a:gradFill>
          <a:ln>
            <a:solidFill>
              <a:schemeClr val="accent1"/>
            </a:solidFill>
          </a:ln>
          <a:effectLst>
            <a:innerShdw dist="38100" dir="16200000">
              <a:schemeClr val="lt1"/>
            </a:inn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7.384321292952703E-2"/>
          <c:y val="5.2648031496062987E-2"/>
          <c:w val="0.88396041119860014"/>
          <c:h val="0.78605606590842814"/>
        </c:manualLayout>
      </c:layout>
      <c:areaChart>
        <c:grouping val="standard"/>
        <c:varyColors val="0"/>
        <c:ser>
          <c:idx val="0"/>
          <c:order val="0"/>
          <c:tx>
            <c:strRef>
              <c:f>'Pivot Report'!$H$4</c:f>
              <c:strCache>
                <c:ptCount val="1"/>
                <c:pt idx="0">
                  <c:v>Total</c:v>
                </c:pt>
              </c:strCache>
            </c:strRef>
          </c:tx>
          <c:spPr>
            <a:gradFill>
              <a:gsLst>
                <a:gs pos="0">
                  <a:schemeClr val="lt1">
                    <a:alpha val="50000"/>
                  </a:schemeClr>
                </a:gs>
                <a:gs pos="100000">
                  <a:schemeClr val="lt1">
                    <a:alpha val="0"/>
                  </a:schemeClr>
                </a:gs>
              </a:gsLst>
              <a:lin ang="5400000" scaled="0"/>
            </a:gradFill>
            <a:ln>
              <a:solidFill>
                <a:schemeClr val="accent1"/>
              </a:solidFill>
            </a:ln>
            <a:effectLst>
              <a:innerShdw dist="38100" dir="16200000">
                <a:schemeClr val="lt1"/>
              </a:innerShdw>
            </a:effectLst>
          </c:spPr>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accent1">
                          <a:lumMod val="60000"/>
                          <a:lumOff val="40000"/>
                        </a:schemeClr>
                      </a:solidFill>
                    </a:ln>
                    <a:effectLst/>
                  </c:spPr>
                </c15:leaderLines>
              </c:ext>
            </c:extLst>
          </c:dLbls>
          <c:cat>
            <c:strRef>
              <c:f>'Pivot Report'!$G$5:$G$35</c:f>
              <c:strCache>
                <c:ptCount val="30"/>
                <c:pt idx="0">
                  <c:v>1-Jun</c:v>
                </c:pt>
                <c:pt idx="1">
                  <c:v>2-Jun</c:v>
                </c:pt>
                <c:pt idx="2">
                  <c:v>3-Jun</c:v>
                </c:pt>
                <c:pt idx="3">
                  <c:v>4-Jun</c:v>
                </c:pt>
                <c:pt idx="4">
                  <c:v>5-Jun</c:v>
                </c:pt>
                <c:pt idx="5">
                  <c:v>6-Jun</c:v>
                </c:pt>
                <c:pt idx="6">
                  <c:v>7-Jun</c:v>
                </c:pt>
                <c:pt idx="7">
                  <c:v>8-Jun</c:v>
                </c:pt>
                <c:pt idx="8">
                  <c:v>9-Jun</c:v>
                </c:pt>
                <c:pt idx="9">
                  <c:v>10-Jun</c:v>
                </c:pt>
                <c:pt idx="10">
                  <c:v>11-Jun</c:v>
                </c:pt>
                <c:pt idx="11">
                  <c:v>12-Jun</c:v>
                </c:pt>
                <c:pt idx="12">
                  <c:v>13-Jun</c:v>
                </c:pt>
                <c:pt idx="13">
                  <c:v>14-Jun</c:v>
                </c:pt>
                <c:pt idx="14">
                  <c:v>15-Jun</c:v>
                </c:pt>
                <c:pt idx="15">
                  <c:v>16-Jun</c:v>
                </c:pt>
                <c:pt idx="16">
                  <c:v>17-Jun</c:v>
                </c:pt>
                <c:pt idx="17">
                  <c:v>18-Jun</c:v>
                </c:pt>
                <c:pt idx="18">
                  <c:v>19-Jun</c:v>
                </c:pt>
                <c:pt idx="19">
                  <c:v>20-Jun</c:v>
                </c:pt>
                <c:pt idx="20">
                  <c:v>21-Jun</c:v>
                </c:pt>
                <c:pt idx="21">
                  <c:v>22-Jun</c:v>
                </c:pt>
                <c:pt idx="22">
                  <c:v>23-Jun</c:v>
                </c:pt>
                <c:pt idx="23">
                  <c:v>24-Jun</c:v>
                </c:pt>
                <c:pt idx="24">
                  <c:v>25-Jun</c:v>
                </c:pt>
                <c:pt idx="25">
                  <c:v>26-Jun</c:v>
                </c:pt>
                <c:pt idx="26">
                  <c:v>27-Jun</c:v>
                </c:pt>
                <c:pt idx="27">
                  <c:v>28-Jun</c:v>
                </c:pt>
                <c:pt idx="28">
                  <c:v>29-Jun</c:v>
                </c:pt>
                <c:pt idx="29">
                  <c:v>30-Jun</c:v>
                </c:pt>
              </c:strCache>
            </c:strRef>
          </c:cat>
          <c:val>
            <c:numRef>
              <c:f>'Pivot Report'!$H$5:$H$35</c:f>
              <c:numCache>
                <c:formatCode>0.00</c:formatCode>
                <c:ptCount val="30"/>
                <c:pt idx="0">
                  <c:v>33.352941176470587</c:v>
                </c:pt>
                <c:pt idx="1">
                  <c:v>38.4</c:v>
                </c:pt>
                <c:pt idx="2">
                  <c:v>38.521739130434781</c:v>
                </c:pt>
                <c:pt idx="3">
                  <c:v>30.4</c:v>
                </c:pt>
                <c:pt idx="4">
                  <c:v>33.142857142857146</c:v>
                </c:pt>
                <c:pt idx="5">
                  <c:v>38.18181818181818</c:v>
                </c:pt>
                <c:pt idx="6">
                  <c:v>39.733333333333334</c:v>
                </c:pt>
                <c:pt idx="7">
                  <c:v>37</c:v>
                </c:pt>
                <c:pt idx="8">
                  <c:v>35.61904761904762</c:v>
                </c:pt>
                <c:pt idx="9">
                  <c:v>34.176470588235297</c:v>
                </c:pt>
                <c:pt idx="10">
                  <c:v>37.176470588235297</c:v>
                </c:pt>
                <c:pt idx="11">
                  <c:v>36.647058823529413</c:v>
                </c:pt>
                <c:pt idx="12">
                  <c:v>34.941176470588232</c:v>
                </c:pt>
                <c:pt idx="13">
                  <c:v>44</c:v>
                </c:pt>
                <c:pt idx="14">
                  <c:v>38.913043478260867</c:v>
                </c:pt>
                <c:pt idx="15">
                  <c:v>31</c:v>
                </c:pt>
                <c:pt idx="16">
                  <c:v>34.227272727272727</c:v>
                </c:pt>
                <c:pt idx="17">
                  <c:v>31</c:v>
                </c:pt>
                <c:pt idx="18">
                  <c:v>32.153846153846153</c:v>
                </c:pt>
                <c:pt idx="19">
                  <c:v>32.785714285714285</c:v>
                </c:pt>
                <c:pt idx="20">
                  <c:v>30</c:v>
                </c:pt>
                <c:pt idx="21">
                  <c:v>33.5</c:v>
                </c:pt>
                <c:pt idx="22">
                  <c:v>32.950000000000003</c:v>
                </c:pt>
                <c:pt idx="23">
                  <c:v>35.842105263157897</c:v>
                </c:pt>
                <c:pt idx="24">
                  <c:v>33.846153846153847</c:v>
                </c:pt>
                <c:pt idx="25">
                  <c:v>39.06666666666667</c:v>
                </c:pt>
                <c:pt idx="26">
                  <c:v>36.684210526315788</c:v>
                </c:pt>
                <c:pt idx="27">
                  <c:v>33.764705882352942</c:v>
                </c:pt>
                <c:pt idx="28">
                  <c:v>34.533333333333331</c:v>
                </c:pt>
                <c:pt idx="29">
                  <c:v>42.125</c:v>
                </c:pt>
              </c:numCache>
            </c:numRef>
          </c:val>
          <c:extLst>
            <c:ext xmlns:c16="http://schemas.microsoft.com/office/drawing/2014/chart" uri="{C3380CC4-5D6E-409C-BE32-E72D297353CC}">
              <c16:uniqueId val="{00000001-B799-4B54-8586-A7A7ED05FDAF}"/>
            </c:ext>
          </c:extLst>
        </c:ser>
        <c:dLbls>
          <c:showLegendKey val="0"/>
          <c:showVal val="1"/>
          <c:showCatName val="0"/>
          <c:showSerName val="0"/>
          <c:showPercent val="0"/>
          <c:showBubbleSize val="0"/>
        </c:dLbls>
        <c:dropLines>
          <c:spPr>
            <a:ln w="9525" cap="flat" cmpd="sng" algn="ctr">
              <a:gradFill>
                <a:gsLst>
                  <a:gs pos="0">
                    <a:schemeClr val="lt1"/>
                  </a:gs>
                  <a:gs pos="50000">
                    <a:schemeClr val="lt1">
                      <a:alpha val="0"/>
                    </a:schemeClr>
                  </a:gs>
                </a:gsLst>
                <a:lin ang="5400000" scaled="0"/>
              </a:gradFill>
              <a:round/>
            </a:ln>
            <a:effectLst/>
          </c:spPr>
        </c:dropLines>
        <c:axId val="48171695"/>
        <c:axId val="48172175"/>
      </c:areaChart>
      <c:catAx>
        <c:axId val="48171695"/>
        <c:scaling>
          <c:orientation val="minMax"/>
        </c:scaling>
        <c:delete val="0"/>
        <c:axPos val="b"/>
        <c:numFmt formatCode="General" sourceLinked="1"/>
        <c:majorTickMark val="none"/>
        <c:minorTickMark val="none"/>
        <c:tickLblPos val="nextTo"/>
        <c:spPr>
          <a:noFill/>
          <a:ln w="9525" cap="flat" cmpd="sng" algn="ctr">
            <a:solidFill>
              <a:schemeClr val="accent1">
                <a:lumMod val="40000"/>
                <a:lumOff val="60000"/>
                <a:alpha val="25000"/>
              </a:schemeClr>
            </a:solidFill>
            <a:round/>
          </a:ln>
          <a:effectLst/>
        </c:spPr>
        <c:txPr>
          <a:bodyPr rot="-60000000" spcFirstLastPara="1" vertOverflow="ellipsis" vert="horz" wrap="square" anchor="ctr" anchorCtr="1"/>
          <a:lstStyle/>
          <a:p>
            <a:pPr>
              <a:defRPr sz="800" b="0" i="0" u="none" strike="noStrike" kern="1200" baseline="0">
                <a:solidFill>
                  <a:schemeClr val="lt1"/>
                </a:solidFill>
                <a:latin typeface="+mn-lt"/>
                <a:ea typeface="+mn-ea"/>
                <a:cs typeface="+mn-cs"/>
              </a:defRPr>
            </a:pPr>
            <a:endParaRPr lang="en-US"/>
          </a:p>
        </c:txPr>
        <c:crossAx val="48172175"/>
        <c:crosses val="autoZero"/>
        <c:auto val="1"/>
        <c:lblAlgn val="ctr"/>
        <c:lblOffset val="100"/>
        <c:noMultiLvlLbl val="0"/>
      </c:catAx>
      <c:valAx>
        <c:axId val="48172175"/>
        <c:scaling>
          <c:orientation val="minMax"/>
        </c:scaling>
        <c:delete val="1"/>
        <c:axPos val="l"/>
        <c:numFmt formatCode="0.00" sourceLinked="1"/>
        <c:majorTickMark val="out"/>
        <c:minorTickMark val="none"/>
        <c:tickLblPos val="nextTo"/>
        <c:crossAx val="48171695"/>
        <c:crosses val="autoZero"/>
        <c:crossBetween val="midCat"/>
      </c:valAx>
      <c:spPr>
        <a:noFill/>
        <a:ln>
          <a:noFill/>
        </a:ln>
        <a:effectLst/>
      </c:spPr>
    </c:plotArea>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accent1"/>
    </a:solidFill>
    <a:ln w="9525" cap="flat" cmpd="sng" algn="ctr">
      <a:solidFill>
        <a:schemeClr val="accent1"/>
      </a:solidFill>
      <a:round/>
    </a:ln>
    <a:effectLst/>
  </c:spPr>
  <c:txPr>
    <a:bodyPr/>
    <a:lstStyle/>
    <a:p>
      <a:pPr>
        <a:defRPr/>
      </a:pPr>
      <a:endParaRPr lang="en-US"/>
    </a:p>
  </c:txPr>
  <c:printSettings>
    <c:headerFooter/>
    <c:pageMargins b="0.75" l="0.7" r="0.7" t="0.75" header="0.3" footer="0.3"/>
    <c:pageSetup/>
  </c:printSettings>
  <c:userShapes r:id="rId3"/>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[Project.xlsx]Pivot Report!PivotTable6</c:name>
    <c:fmtId val="25"/>
  </c:pivotSource>
  <c:chart>
    <c:autoTitleDeleted val="1"/>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dLbl>
          <c:idx val="0"/>
          <c:showLegendKey val="0"/>
          <c:showVal val="0"/>
          <c:showCatName val="0"/>
          <c:showSerName val="0"/>
          <c:showPercent val="0"/>
          <c:showBubbleSize val="0"/>
          <c:extLst>
            <c:ext xmlns:c15="http://schemas.microsoft.com/office/drawing/2012/chart" uri="{CE6537A1-D6FC-4f65-9D91-7224C49458BB}"/>
          </c:extLst>
        </c:dLbl>
      </c:pivotFmt>
      <c:pivotFmt>
        <c:idx val="5"/>
        <c:spPr>
          <a:gradFill>
            <a:gsLst>
              <a:gs pos="0">
                <a:schemeClr val="lt1">
                  <a:alpha val="50000"/>
                </a:schemeClr>
              </a:gs>
              <a:gs pos="100000">
                <a:schemeClr val="lt1">
                  <a:alpha val="0"/>
                </a:schemeClr>
              </a:gs>
            </a:gsLst>
            <a:lin ang="5400000" scaled="0"/>
          </a:gradFill>
          <a:ln>
            <a:solidFill>
              <a:schemeClr val="accent1"/>
            </a:solidFill>
          </a:ln>
          <a:effectLst>
            <a:innerShdw dist="38100" dir="16200000">
              <a:schemeClr val="lt1"/>
            </a:inn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4.311689299707102E-2"/>
          <c:y val="0.10501770127571262"/>
          <c:w val="0.88192607347006524"/>
          <c:h val="0.62726759445766955"/>
        </c:manualLayout>
      </c:layout>
      <c:areaChart>
        <c:grouping val="standard"/>
        <c:varyColors val="0"/>
        <c:ser>
          <c:idx val="0"/>
          <c:order val="0"/>
          <c:tx>
            <c:strRef>
              <c:f>'Pivot Report'!$K$4</c:f>
              <c:strCache>
                <c:ptCount val="1"/>
                <c:pt idx="0">
                  <c:v>Total</c:v>
                </c:pt>
              </c:strCache>
            </c:strRef>
          </c:tx>
          <c:spPr>
            <a:gradFill>
              <a:gsLst>
                <a:gs pos="0">
                  <a:schemeClr val="lt1">
                    <a:alpha val="50000"/>
                  </a:schemeClr>
                </a:gs>
                <a:gs pos="100000">
                  <a:schemeClr val="lt1">
                    <a:alpha val="0"/>
                  </a:schemeClr>
                </a:gs>
              </a:gsLst>
              <a:lin ang="5400000" scaled="0"/>
            </a:gradFill>
            <a:ln>
              <a:solidFill>
                <a:schemeClr val="accent1"/>
              </a:solidFill>
            </a:ln>
            <a:effectLst>
              <a:innerShdw dist="38100" dir="16200000">
                <a:schemeClr val="lt1"/>
              </a:innerShdw>
            </a:effectLst>
          </c:spPr>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accent1">
                          <a:lumMod val="60000"/>
                          <a:lumOff val="40000"/>
                        </a:schemeClr>
                      </a:solidFill>
                    </a:ln>
                    <a:effectLst/>
                  </c:spPr>
                </c15:leaderLines>
              </c:ext>
            </c:extLst>
          </c:dLbls>
          <c:cat>
            <c:strRef>
              <c:f>'Pivot Report'!$J$5:$J$35</c:f>
              <c:strCache>
                <c:ptCount val="30"/>
                <c:pt idx="0">
                  <c:v>1-Jun</c:v>
                </c:pt>
                <c:pt idx="1">
                  <c:v>2-Jun</c:v>
                </c:pt>
                <c:pt idx="2">
                  <c:v>3-Jun</c:v>
                </c:pt>
                <c:pt idx="3">
                  <c:v>4-Jun</c:v>
                </c:pt>
                <c:pt idx="4">
                  <c:v>5-Jun</c:v>
                </c:pt>
                <c:pt idx="5">
                  <c:v>6-Jun</c:v>
                </c:pt>
                <c:pt idx="6">
                  <c:v>7-Jun</c:v>
                </c:pt>
                <c:pt idx="7">
                  <c:v>8-Jun</c:v>
                </c:pt>
                <c:pt idx="8">
                  <c:v>9-Jun</c:v>
                </c:pt>
                <c:pt idx="9">
                  <c:v>10-Jun</c:v>
                </c:pt>
                <c:pt idx="10">
                  <c:v>11-Jun</c:v>
                </c:pt>
                <c:pt idx="11">
                  <c:v>12-Jun</c:v>
                </c:pt>
                <c:pt idx="12">
                  <c:v>13-Jun</c:v>
                </c:pt>
                <c:pt idx="13">
                  <c:v>14-Jun</c:v>
                </c:pt>
                <c:pt idx="14">
                  <c:v>15-Jun</c:v>
                </c:pt>
                <c:pt idx="15">
                  <c:v>16-Jun</c:v>
                </c:pt>
                <c:pt idx="16">
                  <c:v>17-Jun</c:v>
                </c:pt>
                <c:pt idx="17">
                  <c:v>18-Jun</c:v>
                </c:pt>
                <c:pt idx="18">
                  <c:v>19-Jun</c:v>
                </c:pt>
                <c:pt idx="19">
                  <c:v>20-Jun</c:v>
                </c:pt>
                <c:pt idx="20">
                  <c:v>21-Jun</c:v>
                </c:pt>
                <c:pt idx="21">
                  <c:v>22-Jun</c:v>
                </c:pt>
                <c:pt idx="22">
                  <c:v>23-Jun</c:v>
                </c:pt>
                <c:pt idx="23">
                  <c:v>24-Jun</c:v>
                </c:pt>
                <c:pt idx="24">
                  <c:v>25-Jun</c:v>
                </c:pt>
                <c:pt idx="25">
                  <c:v>26-Jun</c:v>
                </c:pt>
                <c:pt idx="26">
                  <c:v>27-Jun</c:v>
                </c:pt>
                <c:pt idx="27">
                  <c:v>28-Jun</c:v>
                </c:pt>
                <c:pt idx="28">
                  <c:v>29-Jun</c:v>
                </c:pt>
                <c:pt idx="29">
                  <c:v>30-Jun</c:v>
                </c:pt>
              </c:strCache>
            </c:strRef>
          </c:cat>
          <c:val>
            <c:numRef>
              <c:f>'Pivot Report'!$K$5:$K$35</c:f>
              <c:numCache>
                <c:formatCode>0.00</c:formatCode>
                <c:ptCount val="30"/>
                <c:pt idx="0">
                  <c:v>4.75</c:v>
                </c:pt>
                <c:pt idx="1">
                  <c:v>5.2</c:v>
                </c:pt>
                <c:pt idx="2">
                  <c:v>3.375</c:v>
                </c:pt>
                <c:pt idx="3">
                  <c:v>5.8</c:v>
                </c:pt>
                <c:pt idx="4">
                  <c:v>4.375</c:v>
                </c:pt>
                <c:pt idx="5">
                  <c:v>3</c:v>
                </c:pt>
                <c:pt idx="6">
                  <c:v>5</c:v>
                </c:pt>
                <c:pt idx="7">
                  <c:v>3</c:v>
                </c:pt>
                <c:pt idx="8">
                  <c:v>4.9090909090909092</c:v>
                </c:pt>
                <c:pt idx="9">
                  <c:v>3.8333333333333335</c:v>
                </c:pt>
                <c:pt idx="10">
                  <c:v>3.875</c:v>
                </c:pt>
                <c:pt idx="11">
                  <c:v>4.333333333333333</c:v>
                </c:pt>
                <c:pt idx="12">
                  <c:v>3.5</c:v>
                </c:pt>
                <c:pt idx="13">
                  <c:v>5.4</c:v>
                </c:pt>
                <c:pt idx="14">
                  <c:v>5.375</c:v>
                </c:pt>
                <c:pt idx="15">
                  <c:v>3.3333333333333335</c:v>
                </c:pt>
                <c:pt idx="16">
                  <c:v>6.2</c:v>
                </c:pt>
                <c:pt idx="17">
                  <c:v>1.6666666666666667</c:v>
                </c:pt>
                <c:pt idx="18">
                  <c:v>4.5</c:v>
                </c:pt>
                <c:pt idx="19">
                  <c:v>7.666666666666667</c:v>
                </c:pt>
                <c:pt idx="20">
                  <c:v>4.4000000000000004</c:v>
                </c:pt>
                <c:pt idx="21">
                  <c:v>6.5</c:v>
                </c:pt>
                <c:pt idx="22">
                  <c:v>5</c:v>
                </c:pt>
                <c:pt idx="23">
                  <c:v>5.25</c:v>
                </c:pt>
                <c:pt idx="24">
                  <c:v>4.75</c:v>
                </c:pt>
                <c:pt idx="25">
                  <c:v>5</c:v>
                </c:pt>
                <c:pt idx="26">
                  <c:v>4</c:v>
                </c:pt>
                <c:pt idx="27">
                  <c:v>5.333333333333333</c:v>
                </c:pt>
                <c:pt idx="28">
                  <c:v>6</c:v>
                </c:pt>
                <c:pt idx="29">
                  <c:v>6.333333333333333</c:v>
                </c:pt>
              </c:numCache>
            </c:numRef>
          </c:val>
          <c:extLst>
            <c:ext xmlns:c16="http://schemas.microsoft.com/office/drawing/2014/chart" uri="{C3380CC4-5D6E-409C-BE32-E72D297353CC}">
              <c16:uniqueId val="{00000001-2951-408A-885D-4050B51680A3}"/>
            </c:ext>
          </c:extLst>
        </c:ser>
        <c:dLbls>
          <c:showLegendKey val="0"/>
          <c:showVal val="1"/>
          <c:showCatName val="0"/>
          <c:showSerName val="0"/>
          <c:showPercent val="0"/>
          <c:showBubbleSize val="0"/>
        </c:dLbls>
        <c:dropLines>
          <c:spPr>
            <a:ln w="9525" cap="flat" cmpd="sng" algn="ctr">
              <a:gradFill>
                <a:gsLst>
                  <a:gs pos="0">
                    <a:schemeClr val="lt1"/>
                  </a:gs>
                  <a:gs pos="50000">
                    <a:schemeClr val="lt1">
                      <a:alpha val="0"/>
                    </a:schemeClr>
                  </a:gs>
                </a:gsLst>
                <a:lin ang="5400000" scaled="0"/>
              </a:gradFill>
              <a:round/>
            </a:ln>
            <a:effectLst/>
          </c:spPr>
        </c:dropLines>
        <c:axId val="51249712"/>
        <c:axId val="51246832"/>
      </c:areaChart>
      <c:catAx>
        <c:axId val="51249712"/>
        <c:scaling>
          <c:orientation val="minMax"/>
        </c:scaling>
        <c:delete val="0"/>
        <c:axPos val="b"/>
        <c:numFmt formatCode="General" sourceLinked="1"/>
        <c:majorTickMark val="none"/>
        <c:minorTickMark val="none"/>
        <c:tickLblPos val="nextTo"/>
        <c:spPr>
          <a:noFill/>
          <a:ln w="9525" cap="flat" cmpd="sng" algn="ctr">
            <a:solidFill>
              <a:schemeClr val="accent1">
                <a:lumMod val="40000"/>
                <a:lumOff val="60000"/>
                <a:alpha val="25000"/>
              </a:schemeClr>
            </a:solidFill>
            <a:round/>
          </a:ln>
          <a:effectLst/>
        </c:spPr>
        <c:txPr>
          <a:bodyPr rot="-60000000" spcFirstLastPara="1" vertOverflow="ellipsis" vert="horz" wrap="square" anchor="ctr" anchorCtr="1"/>
          <a:lstStyle/>
          <a:p>
            <a:pPr>
              <a:defRPr sz="800" b="0" i="0" u="none" strike="noStrike" kern="1200" baseline="0">
                <a:solidFill>
                  <a:schemeClr val="lt1"/>
                </a:solidFill>
                <a:latin typeface="+mn-lt"/>
                <a:ea typeface="+mn-ea"/>
                <a:cs typeface="+mn-cs"/>
              </a:defRPr>
            </a:pPr>
            <a:endParaRPr lang="en-US"/>
          </a:p>
        </c:txPr>
        <c:crossAx val="51246832"/>
        <c:crosses val="autoZero"/>
        <c:auto val="1"/>
        <c:lblAlgn val="ctr"/>
        <c:lblOffset val="100"/>
        <c:noMultiLvlLbl val="0"/>
      </c:catAx>
      <c:valAx>
        <c:axId val="51246832"/>
        <c:scaling>
          <c:orientation val="minMax"/>
        </c:scaling>
        <c:delete val="1"/>
        <c:axPos val="l"/>
        <c:numFmt formatCode="0.00" sourceLinked="1"/>
        <c:majorTickMark val="out"/>
        <c:minorTickMark val="none"/>
        <c:tickLblPos val="nextTo"/>
        <c:crossAx val="51249712"/>
        <c:crosses val="autoZero"/>
        <c:crossBetween val="midCat"/>
      </c:valAx>
      <c:spPr>
        <a:noFill/>
        <a:ln>
          <a:noFill/>
        </a:ln>
        <a:effectLst/>
      </c:spPr>
    </c:plotArea>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accent1"/>
    </a:solidFill>
    <a:ln w="9525" cap="flat" cmpd="sng" algn="ctr">
      <a:solidFill>
        <a:schemeClr val="accent1"/>
      </a:solidFill>
      <a:round/>
    </a:ln>
    <a:effectLst/>
  </c:spPr>
  <c:txPr>
    <a:bodyPr/>
    <a:lstStyle/>
    <a:p>
      <a:pPr>
        <a:defRPr/>
      </a:pPr>
      <a:endParaRPr lang="en-US"/>
    </a:p>
  </c:txPr>
  <c:printSettings>
    <c:headerFooter/>
    <c:pageMargins b="0.75" l="0.7" r="0.7" t="0.75" header="0.3" footer="0.3"/>
    <c:pageSetup/>
  </c:printSettings>
  <c:userShapes r:id="rId3"/>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61">
  <cs:axisTitle>
    <cs:lnRef idx="0"/>
    <cs:fillRef idx="0"/>
    <cs:effectRef idx="0"/>
    <cs:fontRef idx="minor">
      <a:schemeClr val="dk1">
        <a:lumMod val="65000"/>
        <a:lumOff val="35000"/>
      </a:schemeClr>
    </cs:fontRef>
    <cs:defRPr sz="900" kern="1200"/>
  </cs:axisTitle>
  <cs:categoryAxis>
    <cs:lnRef idx="0"/>
    <cs:fillRef idx="0"/>
    <cs:effectRef idx="0"/>
    <cs:fontRef idx="minor">
      <a:schemeClr val="dk1">
        <a:lumMod val="65000"/>
        <a:lumOff val="35000"/>
      </a:schemeClr>
    </cs:fontRef>
    <cs:defRPr sz="900" kern="1200"/>
  </cs:categoryAxis>
  <cs:chartArea>
    <cs:lnRef idx="0"/>
    <cs:fillRef idx="0"/>
    <cs:effectRef idx="0"/>
    <cs:fontRef idx="minor">
      <a:schemeClr val="dk1"/>
    </cs:fontRef>
    <cs:spPr>
      <a:pattFill prst="dkDnDiag">
        <a:fgClr>
          <a:schemeClr val="lt1">
            <a:lumMod val="95000"/>
          </a:schemeClr>
        </a:fgClr>
        <a:bgClr>
          <a:schemeClr val="lt1"/>
        </a:bgClr>
      </a:pattFill>
      <a:ln w="9525" cap="flat" cmpd="sng" algn="ctr">
        <a:solidFill>
          <a:schemeClr val="dk1">
            <a:lumMod val="15000"/>
            <a:lumOff val="85000"/>
          </a:schemeClr>
        </a:solidFill>
        <a:round/>
      </a:ln>
    </cs:spPr>
    <cs:defRPr sz="900" kern="1200"/>
  </cs:chartArea>
  <cs:dataLabel>
    <cs:lnRef idx="0"/>
    <cs:fillRef idx="0"/>
    <cs:effectRef idx="0"/>
    <cs:fontRef idx="minor">
      <a:schemeClr val="lt1"/>
    </cs:fontRef>
    <cs:defRPr sz="900" b="1" i="0" u="none" strike="noStrike" kern="1200" baseline="0"/>
  </cs:dataLabel>
  <cs:dataLabelCallout>
    <cs:lnRef idx="0"/>
    <cs:fillRef idx="0"/>
    <cs:effectRef idx="0"/>
    <cs:fontRef idx="minor">
      <a:schemeClr val="dk1">
        <a:lumMod val="65000"/>
        <a:lumOff val="35000"/>
      </a:schemeClr>
    </cs:fontRef>
    <cs:spPr>
      <a:solidFill>
        <a:schemeClr val="lt1">
          <a:alpha val="75000"/>
        </a:schemeClr>
      </a:solidFill>
      <a:ln w="9525">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317500" algn="ctr" rotWithShape="0">
          <a:prstClr val="black">
            <a:alpha val="25000"/>
          </a:prstClr>
        </a:outerShdw>
      </a:effectLst>
    </cs:spPr>
  </cs:dataPoint>
  <cs:dataPoint3D>
    <cs:lnRef idx="0"/>
    <cs:fillRef idx="0">
      <cs:styleClr val="auto"/>
    </cs:fillRef>
    <cs:effectRef idx="0"/>
    <cs:fontRef idx="minor">
      <a:schemeClr val="dk1"/>
    </cs:fontRef>
    <cs:spPr>
      <a:solidFill>
        <a:schemeClr val="phClr"/>
      </a:solidFill>
      <a:effectLst>
        <a:outerShdw blurRad="88900" sx="102000" sy="102000" algn="ctr" rotWithShape="0">
          <a:prstClr val="black">
            <a:alpha val="20000"/>
          </a:prstClr>
        </a:outerShdw>
      </a:effectLst>
      <a:scene3d>
        <a:camera prst="orthographicFront"/>
        <a:lightRig rig="threePt" dir="t"/>
      </a:scene3d>
      <a:sp3d prstMaterial="matte"/>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noFill/>
      <a:ln w="9525" cap="flat" cmpd="sng" algn="ctr">
        <a:solidFill>
          <a:schemeClr val="dk1">
            <a:lumMod val="15000"/>
            <a:lumOff val="85000"/>
          </a:schemeClr>
        </a:solidFill>
        <a:round/>
      </a:ln>
    </cs:spPr>
    <cs:defRPr sz="900" kern="1200"/>
  </cs:dataTable>
  <cs:downBar>
    <cs:lnRef idx="0"/>
    <cs:fillRef idx="0"/>
    <cs:effectRef idx="0"/>
    <cs:fontRef idx="minor">
      <a:schemeClr val="dk1"/>
    </cs:fontRef>
    <cs:spPr>
      <a:solidFill>
        <a:schemeClr val="dk1">
          <a:lumMod val="75000"/>
          <a:lumOff val="25000"/>
        </a:schemeClr>
      </a:solidFill>
      <a:ln w="9525" cap="flat" cmpd="sng" algn="ctr">
        <a:solidFill>
          <a:schemeClr val="dk1">
            <a:lumMod val="65000"/>
            <a:lumOff val="35000"/>
          </a:schemeClr>
        </a:solidFill>
        <a:round/>
      </a:ln>
    </cs:spPr>
  </cs:downBar>
  <cs:dropLine>
    <cs:lnRef idx="0"/>
    <cs:fillRef idx="0"/>
    <cs:effectRef idx="0"/>
    <cs:fontRef idx="minor">
      <a:schemeClr val="dk1"/>
    </cs:fontRef>
    <cs:spPr>
      <a:ln w="9525" cap="flat" cmpd="sng" algn="ctr">
        <a:solidFill>
          <a:schemeClr val="dk1">
            <a:lumMod val="35000"/>
            <a:lumOff val="65000"/>
          </a:schemeClr>
        </a:solidFill>
        <a:round/>
      </a:ln>
    </cs:spPr>
  </cs:dropLine>
  <cs:errorBar>
    <cs:lnRef idx="0"/>
    <cs:fillRef idx="0"/>
    <cs:effectRef idx="0"/>
    <cs:fontRef idx="minor">
      <a:schemeClr val="dk1"/>
    </cs:fontRef>
    <cs:spPr>
      <a:ln w="9525" cap="flat" cmpd="sng" algn="ctr">
        <a:solidFill>
          <a:schemeClr val="dk1">
            <a:lumMod val="65000"/>
            <a:lumOff val="35000"/>
          </a:schemeClr>
        </a:solidFill>
        <a:round/>
      </a:ln>
    </cs:spPr>
  </cs:errorBar>
  <cs:floor>
    <cs:lnRef idx="0"/>
    <cs:fillRef idx="0"/>
    <cs:effectRef idx="0"/>
    <cs:fontRef idx="minor">
      <a:schemeClr val="dk1"/>
    </cs:fontRef>
    <cs:spPr>
      <a:noFill/>
      <a:ln>
        <a:noFill/>
      </a:ln>
    </cs:spPr>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w="9525" cap="flat" cmpd="sng" algn="ctr">
        <a:solidFill>
          <a:schemeClr val="dk1">
            <a:lumMod val="5000"/>
            <a:lumOff val="95000"/>
          </a:schemeClr>
        </a:solidFill>
        <a:round/>
      </a:ln>
    </cs:spPr>
  </cs:gridlineMinor>
  <cs:hiLoLine>
    <cs:lnRef idx="0"/>
    <cs:fillRef idx="0"/>
    <cs:effectRef idx="0"/>
    <cs:fontRef idx="minor">
      <a:schemeClr val="dk1"/>
    </cs:fontRef>
    <cs:spPr>
      <a:ln w="9525" cap="flat" cmpd="sng" algn="ctr">
        <a:solidFill>
          <a:schemeClr val="dk1">
            <a:lumMod val="50000"/>
            <a:lumOff val="50000"/>
          </a:schemeClr>
        </a:solidFill>
        <a:round/>
      </a:ln>
    </cs:spPr>
  </cs:hiLoLine>
  <cs:leaderLine>
    <cs:lnRef idx="0"/>
    <cs:fillRef idx="0"/>
    <cs:effectRef idx="0"/>
    <cs:fontRef idx="minor">
      <a:schemeClr val="dk1"/>
    </cs:fontRef>
    <cs:spPr>
      <a:ln w="9525" cap="flat" cmpd="sng" algn="ctr">
        <a:solidFill>
          <a:schemeClr val="dk1">
            <a:lumMod val="35000"/>
            <a:lumOff val="65000"/>
          </a:schemeClr>
        </a:solidFill>
        <a:round/>
      </a:ln>
    </cs:spPr>
  </cs:leaderLine>
  <cs:legend>
    <cs:lnRef idx="0"/>
    <cs:fillRef idx="0"/>
    <cs:effectRef idx="0"/>
    <cs:fontRef idx="minor">
      <a:schemeClr val="dk1">
        <a:lumMod val="65000"/>
        <a:lumOff val="35000"/>
      </a:schemeClr>
    </cs:fontRef>
    <cs:spPr>
      <a:solidFill>
        <a:schemeClr val="lt1">
          <a:alpha val="78000"/>
        </a:schemeClr>
      </a:solidFill>
    </cs:spPr>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dk1">
        <a:lumMod val="65000"/>
        <a:lumOff val="35000"/>
      </a:schemeClr>
    </cs:fontRef>
    <cs:defRPr sz="900" kern="1200"/>
  </cs:seriesAxis>
  <cs:seriesLine>
    <cs:lnRef idx="0"/>
    <cs:fillRef idx="0"/>
    <cs:effectRef idx="0"/>
    <cs:fontRef idx="minor">
      <a:schemeClr val="dk1"/>
    </cs:fontRef>
    <cs:spPr>
      <a:ln w="9525" cap="flat" cmpd="sng" algn="ctr">
        <a:solidFill>
          <a:schemeClr val="dk1">
            <a:lumMod val="35000"/>
            <a:lumOff val="65000"/>
          </a:schemeClr>
        </a:solidFill>
        <a:round/>
      </a:ln>
    </cs:spPr>
  </cs:seriesLine>
  <cs:title>
    <cs:lnRef idx="0"/>
    <cs:fillRef idx="0"/>
    <cs:effectRef idx="0"/>
    <cs:fontRef idx="minor">
      <a:schemeClr val="dk1">
        <a:lumMod val="65000"/>
        <a:lumOff val="35000"/>
      </a:schemeClr>
    </cs:fontRef>
    <cs:defRPr sz="1800" b="1" kern="120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solidFill>
      <a:ln w="9525" cap="flat" cmpd="sng" algn="ctr">
        <a:solidFill>
          <a:schemeClr val="dk1">
            <a:lumMod val="65000"/>
            <a:lumOff val="35000"/>
          </a:schemeClr>
        </a:solidFill>
        <a:round/>
      </a:ln>
    </cs:spPr>
  </cs:upBar>
  <cs:valueAxis>
    <cs:lnRef idx="0"/>
    <cs:fillRef idx="0"/>
    <cs:effectRef idx="0"/>
    <cs:fontRef idx="minor">
      <a:schemeClr val="dk1">
        <a:lumMod val="65000"/>
        <a:lumOff val="35000"/>
      </a:schemeClr>
    </cs:fontRef>
    <cs:defRPr sz="900" kern="1200"/>
  </cs:valueAxis>
  <cs:wall>
    <cs:lnRef idx="0"/>
    <cs:fillRef idx="0"/>
    <cs:effectRef idx="0"/>
    <cs:fontRef idx="minor">
      <a:schemeClr val="dk1"/>
    </cs:fontRef>
  </cs:wall>
</cs:chartStyle>
</file>

<file path=xl/charts/style6.xml><?xml version="1.0" encoding="utf-8"?>
<cs:chartStyle xmlns:cs="http://schemas.microsoft.com/office/drawing/2012/chartStyle" xmlns:a="http://schemas.openxmlformats.org/drawingml/2006/main" id="261">
  <cs:axisTitle>
    <cs:lnRef idx="0"/>
    <cs:fillRef idx="0"/>
    <cs:effectRef idx="0"/>
    <cs:fontRef idx="minor">
      <a:schemeClr val="dk1">
        <a:lumMod val="65000"/>
        <a:lumOff val="35000"/>
      </a:schemeClr>
    </cs:fontRef>
    <cs:defRPr sz="900" kern="1200"/>
  </cs:axisTitle>
  <cs:categoryAxis>
    <cs:lnRef idx="0"/>
    <cs:fillRef idx="0"/>
    <cs:effectRef idx="0"/>
    <cs:fontRef idx="minor">
      <a:schemeClr val="dk1">
        <a:lumMod val="65000"/>
        <a:lumOff val="35000"/>
      </a:schemeClr>
    </cs:fontRef>
    <cs:defRPr sz="900" kern="1200"/>
  </cs:categoryAxis>
  <cs:chartArea>
    <cs:lnRef idx="0"/>
    <cs:fillRef idx="0"/>
    <cs:effectRef idx="0"/>
    <cs:fontRef idx="minor">
      <a:schemeClr val="dk1"/>
    </cs:fontRef>
    <cs:spPr>
      <a:pattFill prst="dkDnDiag">
        <a:fgClr>
          <a:schemeClr val="lt1">
            <a:lumMod val="95000"/>
          </a:schemeClr>
        </a:fgClr>
        <a:bgClr>
          <a:schemeClr val="lt1"/>
        </a:bgClr>
      </a:pattFill>
      <a:ln w="9525" cap="flat" cmpd="sng" algn="ctr">
        <a:solidFill>
          <a:schemeClr val="dk1">
            <a:lumMod val="15000"/>
            <a:lumOff val="85000"/>
          </a:schemeClr>
        </a:solidFill>
        <a:round/>
      </a:ln>
    </cs:spPr>
    <cs:defRPr sz="900" kern="1200"/>
  </cs:chartArea>
  <cs:dataLabel>
    <cs:lnRef idx="0"/>
    <cs:fillRef idx="0"/>
    <cs:effectRef idx="0"/>
    <cs:fontRef idx="minor">
      <a:schemeClr val="lt1"/>
    </cs:fontRef>
    <cs:defRPr sz="900" b="1" i="0" u="none" strike="noStrike" kern="1200" baseline="0"/>
  </cs:dataLabel>
  <cs:dataLabelCallout>
    <cs:lnRef idx="0"/>
    <cs:fillRef idx="0"/>
    <cs:effectRef idx="0"/>
    <cs:fontRef idx="minor">
      <a:schemeClr val="dk1">
        <a:lumMod val="65000"/>
        <a:lumOff val="35000"/>
      </a:schemeClr>
    </cs:fontRef>
    <cs:spPr>
      <a:solidFill>
        <a:schemeClr val="lt1">
          <a:alpha val="75000"/>
        </a:schemeClr>
      </a:solidFill>
      <a:ln w="9525">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317500" algn="ctr" rotWithShape="0">
          <a:prstClr val="black">
            <a:alpha val="25000"/>
          </a:prstClr>
        </a:outerShdw>
      </a:effectLst>
    </cs:spPr>
  </cs:dataPoint>
  <cs:dataPoint3D>
    <cs:lnRef idx="0"/>
    <cs:fillRef idx="0">
      <cs:styleClr val="auto"/>
    </cs:fillRef>
    <cs:effectRef idx="0"/>
    <cs:fontRef idx="minor">
      <a:schemeClr val="dk1"/>
    </cs:fontRef>
    <cs:spPr>
      <a:solidFill>
        <a:schemeClr val="phClr"/>
      </a:solidFill>
      <a:effectLst>
        <a:outerShdw blurRad="88900" sx="102000" sy="102000" algn="ctr" rotWithShape="0">
          <a:prstClr val="black">
            <a:alpha val="20000"/>
          </a:prstClr>
        </a:outerShdw>
      </a:effectLst>
      <a:scene3d>
        <a:camera prst="orthographicFront"/>
        <a:lightRig rig="threePt" dir="t"/>
      </a:scene3d>
      <a:sp3d prstMaterial="matte"/>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noFill/>
      <a:ln w="9525" cap="flat" cmpd="sng" algn="ctr">
        <a:solidFill>
          <a:schemeClr val="dk1">
            <a:lumMod val="15000"/>
            <a:lumOff val="85000"/>
          </a:schemeClr>
        </a:solidFill>
        <a:round/>
      </a:ln>
    </cs:spPr>
    <cs:defRPr sz="900" kern="1200"/>
  </cs:dataTable>
  <cs:downBar>
    <cs:lnRef idx="0"/>
    <cs:fillRef idx="0"/>
    <cs:effectRef idx="0"/>
    <cs:fontRef idx="minor">
      <a:schemeClr val="dk1"/>
    </cs:fontRef>
    <cs:spPr>
      <a:solidFill>
        <a:schemeClr val="dk1">
          <a:lumMod val="75000"/>
          <a:lumOff val="25000"/>
        </a:schemeClr>
      </a:solidFill>
      <a:ln w="9525" cap="flat" cmpd="sng" algn="ctr">
        <a:solidFill>
          <a:schemeClr val="dk1">
            <a:lumMod val="65000"/>
            <a:lumOff val="35000"/>
          </a:schemeClr>
        </a:solidFill>
        <a:round/>
      </a:ln>
    </cs:spPr>
  </cs:downBar>
  <cs:dropLine>
    <cs:lnRef idx="0"/>
    <cs:fillRef idx="0"/>
    <cs:effectRef idx="0"/>
    <cs:fontRef idx="minor">
      <a:schemeClr val="dk1"/>
    </cs:fontRef>
    <cs:spPr>
      <a:ln w="9525" cap="flat" cmpd="sng" algn="ctr">
        <a:solidFill>
          <a:schemeClr val="dk1">
            <a:lumMod val="35000"/>
            <a:lumOff val="65000"/>
          </a:schemeClr>
        </a:solidFill>
        <a:round/>
      </a:ln>
    </cs:spPr>
  </cs:dropLine>
  <cs:errorBar>
    <cs:lnRef idx="0"/>
    <cs:fillRef idx="0"/>
    <cs:effectRef idx="0"/>
    <cs:fontRef idx="minor">
      <a:schemeClr val="dk1"/>
    </cs:fontRef>
    <cs:spPr>
      <a:ln w="9525" cap="flat" cmpd="sng" algn="ctr">
        <a:solidFill>
          <a:schemeClr val="dk1">
            <a:lumMod val="65000"/>
            <a:lumOff val="35000"/>
          </a:schemeClr>
        </a:solidFill>
        <a:round/>
      </a:ln>
    </cs:spPr>
  </cs:errorBar>
  <cs:floor>
    <cs:lnRef idx="0"/>
    <cs:fillRef idx="0"/>
    <cs:effectRef idx="0"/>
    <cs:fontRef idx="minor">
      <a:schemeClr val="dk1"/>
    </cs:fontRef>
    <cs:spPr>
      <a:noFill/>
      <a:ln>
        <a:noFill/>
      </a:ln>
    </cs:spPr>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w="9525" cap="flat" cmpd="sng" algn="ctr">
        <a:solidFill>
          <a:schemeClr val="dk1">
            <a:lumMod val="5000"/>
            <a:lumOff val="95000"/>
          </a:schemeClr>
        </a:solidFill>
        <a:round/>
      </a:ln>
    </cs:spPr>
  </cs:gridlineMinor>
  <cs:hiLoLine>
    <cs:lnRef idx="0"/>
    <cs:fillRef idx="0"/>
    <cs:effectRef idx="0"/>
    <cs:fontRef idx="minor">
      <a:schemeClr val="dk1"/>
    </cs:fontRef>
    <cs:spPr>
      <a:ln w="9525" cap="flat" cmpd="sng" algn="ctr">
        <a:solidFill>
          <a:schemeClr val="dk1">
            <a:lumMod val="50000"/>
            <a:lumOff val="50000"/>
          </a:schemeClr>
        </a:solidFill>
        <a:round/>
      </a:ln>
    </cs:spPr>
  </cs:hiLoLine>
  <cs:leaderLine>
    <cs:lnRef idx="0"/>
    <cs:fillRef idx="0"/>
    <cs:effectRef idx="0"/>
    <cs:fontRef idx="minor">
      <a:schemeClr val="dk1"/>
    </cs:fontRef>
    <cs:spPr>
      <a:ln w="9525" cap="flat" cmpd="sng" algn="ctr">
        <a:solidFill>
          <a:schemeClr val="dk1">
            <a:lumMod val="35000"/>
            <a:lumOff val="65000"/>
          </a:schemeClr>
        </a:solidFill>
        <a:round/>
      </a:ln>
    </cs:spPr>
  </cs:leaderLine>
  <cs:legend>
    <cs:lnRef idx="0"/>
    <cs:fillRef idx="0"/>
    <cs:effectRef idx="0"/>
    <cs:fontRef idx="minor">
      <a:schemeClr val="dk1">
        <a:lumMod val="65000"/>
        <a:lumOff val="35000"/>
      </a:schemeClr>
    </cs:fontRef>
    <cs:spPr>
      <a:solidFill>
        <a:schemeClr val="lt1">
          <a:alpha val="78000"/>
        </a:schemeClr>
      </a:solidFill>
    </cs:spPr>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dk1">
        <a:lumMod val="65000"/>
        <a:lumOff val="35000"/>
      </a:schemeClr>
    </cs:fontRef>
    <cs:defRPr sz="900" kern="1200"/>
  </cs:seriesAxis>
  <cs:seriesLine>
    <cs:lnRef idx="0"/>
    <cs:fillRef idx="0"/>
    <cs:effectRef idx="0"/>
    <cs:fontRef idx="minor">
      <a:schemeClr val="dk1"/>
    </cs:fontRef>
    <cs:spPr>
      <a:ln w="9525" cap="flat" cmpd="sng" algn="ctr">
        <a:solidFill>
          <a:schemeClr val="dk1">
            <a:lumMod val="35000"/>
            <a:lumOff val="65000"/>
          </a:schemeClr>
        </a:solidFill>
        <a:round/>
      </a:ln>
    </cs:spPr>
  </cs:seriesLine>
  <cs:title>
    <cs:lnRef idx="0"/>
    <cs:fillRef idx="0"/>
    <cs:effectRef idx="0"/>
    <cs:fontRef idx="minor">
      <a:schemeClr val="dk1">
        <a:lumMod val="65000"/>
        <a:lumOff val="35000"/>
      </a:schemeClr>
    </cs:fontRef>
    <cs:defRPr sz="1800" b="1" kern="120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solidFill>
      <a:ln w="9525" cap="flat" cmpd="sng" algn="ctr">
        <a:solidFill>
          <a:schemeClr val="dk1">
            <a:lumMod val="65000"/>
            <a:lumOff val="35000"/>
          </a:schemeClr>
        </a:solidFill>
        <a:round/>
      </a:ln>
    </cs:spPr>
  </cs:upBar>
  <cs:valueAxis>
    <cs:lnRef idx="0"/>
    <cs:fillRef idx="0"/>
    <cs:effectRef idx="0"/>
    <cs:fontRef idx="minor">
      <a:schemeClr val="dk1">
        <a:lumMod val="65000"/>
        <a:lumOff val="35000"/>
      </a:schemeClr>
    </cs:fontRef>
    <cs:defRPr sz="900" kern="1200"/>
  </cs:valueAxis>
  <cs:wall>
    <cs:lnRef idx="0"/>
    <cs:fillRef idx="0"/>
    <cs:effectRef idx="0"/>
    <cs:fontRef idx="minor">
      <a:schemeClr val="dk1"/>
    </cs:fontRef>
  </cs:wall>
</cs:chartStyle>
</file>

<file path=xl/charts/style7.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85">
  <cs:axisTitle>
    <cs:lnRef idx="0"/>
    <cs:fillRef idx="0"/>
    <cs:effectRef idx="0"/>
    <cs:fontRef idx="minor">
      <a:schemeClr val="lt1"/>
    </cs:fontRef>
    <cs:defRPr sz="900" kern="1200"/>
  </cs:axisTitle>
  <cs:categoryAxis>
    <cs:lnRef idx="0">
      <cs:styleClr val="0"/>
    </cs:lnRef>
    <cs:fillRef idx="0"/>
    <cs:effectRef idx="0"/>
    <cs:fontRef idx="minor">
      <a:schemeClr val="lt1"/>
    </cs:fontRef>
    <cs:spPr>
      <a:ln w="9525" cap="flat" cmpd="sng" algn="ctr">
        <a:solidFill>
          <a:schemeClr val="phClr">
            <a:lumMod val="40000"/>
            <a:lumOff val="60000"/>
            <a:alpha val="25000"/>
          </a:schemeClr>
        </a:solidFill>
        <a:round/>
      </a:ln>
    </cs:spPr>
    <cs:defRPr sz="900" kern="1200"/>
  </cs:categoryAxis>
  <cs:chartArea>
    <cs:lnRef idx="0">
      <cs:styleClr val="0"/>
    </cs:lnRef>
    <cs:fillRef idx="0">
      <cs:styleClr val="0"/>
    </cs:fillRef>
    <cs:effectRef idx="0"/>
    <cs:fontRef idx="minor">
      <a:schemeClr val="lt1"/>
    </cs:fontRef>
    <cs:spPr>
      <a:solidFill>
        <a:schemeClr val="phClr"/>
      </a:solidFill>
      <a:ln w="9525" cap="flat" cmpd="sng" algn="ctr">
        <a:solidFill>
          <a:schemeClr val="phClr"/>
        </a:solidFill>
        <a:round/>
      </a:ln>
    </cs:spPr>
    <cs:defRPr sz="900" kern="1200"/>
  </cs:chartArea>
  <cs:dataLabel>
    <cs:lnRef idx="0"/>
    <cs:fillRef idx="0"/>
    <cs:effectRef idx="0"/>
    <cs:fontRef idx="minor">
      <a:schemeClr val="lt1"/>
    </cs:fontRef>
    <cs:defRPr sz="900" b="1" kern="1200"/>
  </cs:dataLabel>
  <cs:dataLabelCallout>
    <cs:lnRef idx="0">
      <cs:styleClr val="auto"/>
    </cs:lnRef>
    <cs:fillRef idx="0"/>
    <cs:effectRef idx="0"/>
    <cs:fontRef idx="minor">
      <cs:styleClr val="auto"/>
    </cs:fontRef>
    <cs:spPr>
      <a:solidFill>
        <a:schemeClr val="lt1"/>
      </a:solidFill>
      <a:ln>
        <a:solidFill>
          <a:schemeClr val="phClr"/>
        </a:solidFill>
      </a:ln>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0"/>
    <cs:effectRef idx="0"/>
    <cs:fontRef idx="minor">
      <a:schemeClr val="tx1"/>
    </cs:fontRef>
    <cs:spPr>
      <a:gradFill>
        <a:gsLst>
          <a:gs pos="0">
            <a:schemeClr val="lt1">
              <a:alpha val="50000"/>
            </a:schemeClr>
          </a:gs>
          <a:gs pos="100000">
            <a:schemeClr val="lt1">
              <a:alpha val="0"/>
            </a:schemeClr>
          </a:gs>
        </a:gsLst>
        <a:lin ang="5400000" scaled="0"/>
      </a:gradFill>
      <a:ln>
        <a:solidFill>
          <a:schemeClr val="phClr"/>
        </a:solidFill>
      </a:ln>
      <a:effectLst>
        <a:innerShdw dist="38100" dir="16200000">
          <a:schemeClr val="lt1"/>
        </a:innerShdw>
      </a:effectLst>
    </cs:spPr>
  </cs:dataPoint>
  <cs:dataPoint3D>
    <cs:lnRef idx="0">
      <cs:styleClr val="auto"/>
    </cs:lnRef>
    <cs:fillRef idx="0"/>
    <cs:effectRef idx="0"/>
    <cs:fontRef idx="minor">
      <a:schemeClr val="lt1"/>
    </cs:fontRef>
    <cs:spPr>
      <a:gradFill>
        <a:gsLst>
          <a:gs pos="0">
            <a:schemeClr val="lt1">
              <a:alpha val="50000"/>
            </a:schemeClr>
          </a:gs>
          <a:gs pos="100000">
            <a:schemeClr val="lt1">
              <a:alpha val="0"/>
            </a:schemeClr>
          </a:gs>
        </a:gsLst>
        <a:lin ang="5400000" scaled="0"/>
      </a:gradFill>
      <a:ln>
        <a:solidFill>
          <a:schemeClr val="phClr"/>
        </a:solidFill>
      </a:ln>
      <a:effectLst>
        <a:innerShdw dist="38100" dir="16200000">
          <a:schemeClr val="lt1"/>
        </a:innerShdw>
      </a:effectLst>
    </cs:spPr>
  </cs:dataPoint3D>
  <cs:dataPointLine>
    <cs:lnRef idx="0">
      <cs:styleClr val="auto"/>
    </cs:lnRef>
    <cs:fillRef idx="0"/>
    <cs:effectRef idx="0">
      <cs:styleClr val="auto"/>
    </cs:effectRef>
    <cs:fontRef idx="minor">
      <a:schemeClr val="lt1"/>
    </cs:fontRef>
    <cs:spPr>
      <a:ln w="34925" cap="rnd">
        <a:solidFill>
          <a:schemeClr val="lt1"/>
        </a:solidFill>
        <a:round/>
      </a:ln>
      <a:effectLst>
        <a:outerShdw dist="25400" dir="2700000" algn="tl" rotWithShape="0">
          <a:schemeClr val="phClr"/>
        </a:outerShdw>
      </a:effectLst>
    </cs:spPr>
  </cs:dataPointLine>
  <cs:dataPointMarker>
    <cs:lnRef idx="0"/>
    <cs:fillRef idx="0">
      <cs:styleClr val="auto"/>
    </cs:fillRef>
    <cs:effectRef idx="0"/>
    <cs:fontRef idx="minor">
      <a:schemeClr val="lt1"/>
    </cs:fontRef>
    <cs:spPr>
      <a:solidFill>
        <a:schemeClr val="phClr"/>
      </a:solidFill>
      <a:ln w="22225">
        <a:solidFill>
          <a:schemeClr val="lt1"/>
        </a:solidFill>
        <a:round/>
      </a:ln>
    </cs:spPr>
  </cs:dataPointMarker>
  <cs:dataPointMarkerLayout symbol="circle" size="5"/>
  <cs:dataPointWireframe>
    <cs:lnRef idx="0">
      <cs:styleClr val="auto"/>
    </cs:lnRef>
    <cs:fillRef idx="0"/>
    <cs:effectRef idx="0"/>
    <cs:fontRef idx="minor">
      <a:schemeClr val="lt1"/>
    </cs:fontRef>
    <cs:spPr>
      <a:ln w="9525" cap="rnd">
        <a:solidFill>
          <a:schemeClr val="phClr"/>
        </a:solidFill>
        <a:round/>
      </a:ln>
    </cs:spPr>
  </cs:dataPointWireframe>
  <cs:dataTable>
    <cs:lnRef idx="0">
      <cs:styleClr val="0"/>
    </cs:lnRef>
    <cs:fillRef idx="0"/>
    <cs:effectRef idx="0"/>
    <cs:fontRef idx="minor">
      <a:schemeClr val="lt1"/>
    </cs:fontRef>
    <cs:spPr>
      <a:ln w="9525">
        <a:solidFill>
          <a:schemeClr val="phClr">
            <a:lumMod val="40000"/>
            <a:lumOff val="60000"/>
            <a:alpha val="25000"/>
          </a:schemeClr>
        </a:solidFill>
      </a:ln>
    </cs:spPr>
    <cs:defRPr sz="900" kern="1200"/>
  </cs:dataTable>
  <cs:downBar>
    <cs:lnRef idx="0">
      <cs:styleClr val="0"/>
    </cs:lnRef>
    <cs:fillRef idx="0"/>
    <cs:effectRef idx="0"/>
    <cs:fontRef idx="minor">
      <a:schemeClr val="lt1"/>
    </cs:fontRef>
    <cs:spPr>
      <a:solidFill>
        <a:schemeClr val="dk1">
          <a:lumMod val="35000"/>
          <a:lumOff val="65000"/>
        </a:schemeClr>
      </a:solidFill>
      <a:ln w="9525">
        <a:solidFill>
          <a:schemeClr val="phClr">
            <a:lumMod val="60000"/>
            <a:lumOff val="40000"/>
          </a:schemeClr>
        </a:solidFill>
      </a:ln>
    </cs:spPr>
  </cs:downBar>
  <cs:dropLine>
    <cs:lnRef idx="0"/>
    <cs:fillRef idx="0"/>
    <cs:effectRef idx="0"/>
    <cs:fontRef idx="minor">
      <a:schemeClr val="lt1"/>
    </cs:fontRef>
    <cs:spPr>
      <a:ln w="9525" cap="flat" cmpd="sng" algn="ctr">
        <a:gradFill>
          <a:gsLst>
            <a:gs pos="0">
              <a:schemeClr val="lt1"/>
            </a:gs>
            <a:gs pos="50000">
              <a:schemeClr val="lt1">
                <a:alpha val="0"/>
              </a:schemeClr>
            </a:gs>
          </a:gsLst>
          <a:lin ang="5400000" scaled="0"/>
        </a:gradFill>
        <a:round/>
      </a:ln>
    </cs:spPr>
  </cs:dropLine>
  <cs:errorBar>
    <cs:lnRef idx="0">
      <cs:styleClr val="0"/>
    </cs:lnRef>
    <cs:fillRef idx="0"/>
    <cs:effectRef idx="0"/>
    <cs:fontRef idx="minor">
      <a:schemeClr val="lt1"/>
    </cs:fontRef>
    <cs:spPr>
      <a:ln w="9525">
        <a:solidFill>
          <a:schemeClr val="phClr">
            <a:lumMod val="60000"/>
            <a:lumOff val="40000"/>
          </a:schemeClr>
        </a:solidFill>
        <a:round/>
      </a:ln>
      <a:effectLst>
        <a:glow rad="25400">
          <a:schemeClr val="lt1"/>
        </a:glow>
      </a:effectLst>
    </cs:spPr>
  </cs:errorBar>
  <cs:floor>
    <cs:lnRef idx="0"/>
    <cs:fillRef idx="0"/>
    <cs:effectRef idx="0"/>
    <cs:fontRef idx="minor">
      <a:schemeClr val="lt1"/>
    </cs:fontRef>
  </cs:floor>
  <cs:gridlineMajor>
    <cs:lnRef idx="0">
      <cs:styleClr val="0"/>
    </cs:lnRef>
    <cs:fillRef idx="0"/>
    <cs:effectRef idx="0"/>
    <cs:fontRef idx="minor">
      <a:schemeClr val="lt1"/>
    </cs:fontRef>
    <cs:spPr>
      <a:ln>
        <a:solidFill>
          <a:schemeClr val="phClr">
            <a:lumMod val="40000"/>
            <a:lumOff val="60000"/>
            <a:alpha val="25000"/>
          </a:schemeClr>
        </a:solidFill>
      </a:ln>
    </cs:spPr>
  </cs:gridlineMajor>
  <cs:gridlineMinor>
    <cs:lnRef idx="0">
      <cs:styleClr val="0"/>
    </cs:lnRef>
    <cs:fillRef idx="0"/>
    <cs:effectRef idx="0"/>
    <cs:fontRef idx="minor">
      <a:schemeClr val="lt1"/>
    </cs:fontRef>
    <cs:spPr>
      <a:ln>
        <a:solidFill>
          <a:schemeClr val="phClr">
            <a:lumMod val="40000"/>
            <a:lumOff val="60000"/>
            <a:alpha val="25000"/>
          </a:schemeClr>
        </a:solidFill>
      </a:ln>
    </cs:spPr>
  </cs:gridlineMinor>
  <cs:hiLoLine>
    <cs:lnRef idx="0">
      <cs:styleClr val="0"/>
    </cs:lnRef>
    <cs:fillRef idx="0"/>
    <cs:effectRef idx="0"/>
    <cs:fontRef idx="minor">
      <a:schemeClr val="lt1"/>
    </cs:fontRef>
    <cs:spPr>
      <a:ln w="9525">
        <a:solidFill>
          <a:schemeClr val="phClr">
            <a:lumMod val="60000"/>
            <a:lumOff val="40000"/>
          </a:schemeClr>
        </a:solidFill>
      </a:ln>
    </cs:spPr>
  </cs:hiLoLine>
  <cs:leaderLine>
    <cs:lnRef idx="0">
      <cs:styleClr val="0"/>
    </cs:lnRef>
    <cs:fillRef idx="0"/>
    <cs:effectRef idx="0"/>
    <cs:fontRef idx="minor">
      <a:schemeClr val="lt1"/>
    </cs:fontRef>
    <cs:spPr>
      <a:ln w="9525">
        <a:solidFill>
          <a:schemeClr val="phClr">
            <a:lumMod val="60000"/>
            <a:lumOff val="40000"/>
          </a:schemeClr>
        </a:solidFill>
      </a:ln>
    </cs:spPr>
  </cs:leaderLine>
  <cs:legend>
    <cs:lnRef idx="0"/>
    <cs:fillRef idx="0"/>
    <cs:effectRef idx="0"/>
    <cs:fontRef idx="minor">
      <a:schemeClr val="lt1"/>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styleClr val="0"/>
    </cs:lnRef>
    <cs:fillRef idx="0"/>
    <cs:effectRef idx="0"/>
    <cs:fontRef idx="minor">
      <a:schemeClr val="lt1"/>
    </cs:fontRef>
    <cs:spPr>
      <a:ln w="9525" cap="flat" cmpd="sng" algn="ctr">
        <a:solidFill>
          <a:schemeClr val="phClr">
            <a:lumMod val="40000"/>
            <a:lumOff val="60000"/>
            <a:alpha val="25000"/>
          </a:schemeClr>
        </a:solidFill>
        <a:round/>
      </a:ln>
    </cs:spPr>
    <cs:defRPr sz="900" kern="1200"/>
  </cs:seriesAxis>
  <cs:seriesLine>
    <cs:lnRef idx="0">
      <cs:styleClr val="0"/>
    </cs:lnRef>
    <cs:fillRef idx="0"/>
    <cs:effectRef idx="0"/>
    <cs:fontRef idx="minor">
      <a:schemeClr val="lt1"/>
    </cs:fontRef>
    <cs:spPr>
      <a:ln w="9525">
        <a:solidFill>
          <a:schemeClr val="phClr">
            <a:lumMod val="60000"/>
            <a:lumOff val="40000"/>
            <a:tint val="50000"/>
          </a:schemeClr>
        </a:solidFill>
        <a:prstDash val="dash"/>
      </a:ln>
    </cs:spPr>
  </cs:seriesLine>
  <cs:title>
    <cs:lnRef idx="0"/>
    <cs:fillRef idx="0"/>
    <cs:effectRef idx="0"/>
    <cs:fontRef idx="minor">
      <a:schemeClr val="lt1"/>
    </cs:fontRef>
    <cs:defRPr sz="1500" b="1" kern="1200" cap="all" spc="100" normalizeH="0" baseline="0"/>
  </cs:title>
  <cs:trendline>
    <cs:lnRef idx="0"/>
    <cs:fillRef idx="0"/>
    <cs:effectRef idx="0"/>
    <cs:fontRef idx="minor">
      <a:schemeClr val="lt1"/>
    </cs:fontRef>
    <cs:spPr>
      <a:ln w="28575" cap="rnd">
        <a:solidFill>
          <a:schemeClr val="lt1">
            <a:alpha val="50000"/>
          </a:schemeClr>
        </a:solidFill>
        <a:round/>
      </a:ln>
    </cs:spPr>
  </cs:trendline>
  <cs:trendlineLabel>
    <cs:lnRef idx="0"/>
    <cs:fillRef idx="0"/>
    <cs:effectRef idx="0"/>
    <cs:fontRef idx="minor">
      <a:schemeClr val="lt1"/>
    </cs:fontRef>
    <cs:defRPr sz="900" kern="1200"/>
  </cs:trendlineLabel>
  <cs:upBar>
    <cs:lnRef idx="0">
      <cs:styleClr val="0"/>
    </cs:lnRef>
    <cs:fillRef idx="0"/>
    <cs:effectRef idx="0"/>
    <cs:fontRef idx="minor">
      <a:schemeClr val="lt1"/>
    </cs:fontRef>
    <cs:spPr>
      <a:solidFill>
        <a:schemeClr val="lt1">
          <a:lumMod val="95000"/>
        </a:schemeClr>
      </a:solidFill>
      <a:ln w="9525">
        <a:solidFill>
          <a:schemeClr val="phClr">
            <a:lumMod val="60000"/>
            <a:lumOff val="40000"/>
          </a:schemeClr>
        </a:solidFill>
      </a:ln>
    </cs:spPr>
  </cs:upBar>
  <cs:valueAxis>
    <cs:lnRef idx="0"/>
    <cs:fillRef idx="0"/>
    <cs:effectRef idx="0"/>
    <cs:fontRef idx="minor">
      <a:schemeClr val="lt1"/>
    </cs:fontRef>
    <cs:defRPr sz="900" kern="1200"/>
    <cs:bodyPr/>
  </cs:valueAxis>
  <cs:wall>
    <cs:lnRef idx="0"/>
    <cs:fillRef idx="0"/>
    <cs:effectRef idx="0"/>
    <cs:fontRef idx="minor">
      <a:schemeClr val="lt1"/>
    </cs:fontRef>
  </cs:wall>
</cs:chartStyle>
</file>

<file path=xl/charts/style9.xml><?xml version="1.0" encoding="utf-8"?>
<cs:chartStyle xmlns:cs="http://schemas.microsoft.com/office/drawing/2012/chartStyle" xmlns:a="http://schemas.openxmlformats.org/drawingml/2006/main" id="285">
  <cs:axisTitle>
    <cs:lnRef idx="0"/>
    <cs:fillRef idx="0"/>
    <cs:effectRef idx="0"/>
    <cs:fontRef idx="minor">
      <a:schemeClr val="lt1"/>
    </cs:fontRef>
    <cs:defRPr sz="900" kern="1200"/>
  </cs:axisTitle>
  <cs:categoryAxis>
    <cs:lnRef idx="0">
      <cs:styleClr val="0"/>
    </cs:lnRef>
    <cs:fillRef idx="0"/>
    <cs:effectRef idx="0"/>
    <cs:fontRef idx="minor">
      <a:schemeClr val="lt1"/>
    </cs:fontRef>
    <cs:spPr>
      <a:ln w="9525" cap="flat" cmpd="sng" algn="ctr">
        <a:solidFill>
          <a:schemeClr val="phClr">
            <a:lumMod val="40000"/>
            <a:lumOff val="60000"/>
            <a:alpha val="25000"/>
          </a:schemeClr>
        </a:solidFill>
        <a:round/>
      </a:ln>
    </cs:spPr>
    <cs:defRPr sz="900" kern="1200"/>
  </cs:categoryAxis>
  <cs:chartArea>
    <cs:lnRef idx="0">
      <cs:styleClr val="0"/>
    </cs:lnRef>
    <cs:fillRef idx="0">
      <cs:styleClr val="0"/>
    </cs:fillRef>
    <cs:effectRef idx="0"/>
    <cs:fontRef idx="minor">
      <a:schemeClr val="lt1"/>
    </cs:fontRef>
    <cs:spPr>
      <a:solidFill>
        <a:schemeClr val="phClr"/>
      </a:solidFill>
      <a:ln w="9525" cap="flat" cmpd="sng" algn="ctr">
        <a:solidFill>
          <a:schemeClr val="phClr"/>
        </a:solidFill>
        <a:round/>
      </a:ln>
    </cs:spPr>
    <cs:defRPr sz="900" kern="1200"/>
  </cs:chartArea>
  <cs:dataLabel>
    <cs:lnRef idx="0"/>
    <cs:fillRef idx="0"/>
    <cs:effectRef idx="0"/>
    <cs:fontRef idx="minor">
      <a:schemeClr val="lt1"/>
    </cs:fontRef>
    <cs:defRPr sz="900" b="1" kern="1200"/>
  </cs:dataLabel>
  <cs:dataLabelCallout>
    <cs:lnRef idx="0">
      <cs:styleClr val="auto"/>
    </cs:lnRef>
    <cs:fillRef idx="0"/>
    <cs:effectRef idx="0"/>
    <cs:fontRef idx="minor">
      <cs:styleClr val="auto"/>
    </cs:fontRef>
    <cs:spPr>
      <a:solidFill>
        <a:schemeClr val="lt1"/>
      </a:solidFill>
      <a:ln>
        <a:solidFill>
          <a:schemeClr val="phClr"/>
        </a:solidFill>
      </a:ln>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0"/>
    <cs:effectRef idx="0"/>
    <cs:fontRef idx="minor">
      <a:schemeClr val="tx1"/>
    </cs:fontRef>
    <cs:spPr>
      <a:gradFill>
        <a:gsLst>
          <a:gs pos="0">
            <a:schemeClr val="lt1">
              <a:alpha val="50000"/>
            </a:schemeClr>
          </a:gs>
          <a:gs pos="100000">
            <a:schemeClr val="lt1">
              <a:alpha val="0"/>
            </a:schemeClr>
          </a:gs>
        </a:gsLst>
        <a:lin ang="5400000" scaled="0"/>
      </a:gradFill>
      <a:ln>
        <a:solidFill>
          <a:schemeClr val="phClr"/>
        </a:solidFill>
      </a:ln>
      <a:effectLst>
        <a:innerShdw dist="38100" dir="16200000">
          <a:schemeClr val="lt1"/>
        </a:innerShdw>
      </a:effectLst>
    </cs:spPr>
  </cs:dataPoint>
  <cs:dataPoint3D>
    <cs:lnRef idx="0">
      <cs:styleClr val="auto"/>
    </cs:lnRef>
    <cs:fillRef idx="0"/>
    <cs:effectRef idx="0"/>
    <cs:fontRef idx="minor">
      <a:schemeClr val="lt1"/>
    </cs:fontRef>
    <cs:spPr>
      <a:gradFill>
        <a:gsLst>
          <a:gs pos="0">
            <a:schemeClr val="lt1">
              <a:alpha val="50000"/>
            </a:schemeClr>
          </a:gs>
          <a:gs pos="100000">
            <a:schemeClr val="lt1">
              <a:alpha val="0"/>
            </a:schemeClr>
          </a:gs>
        </a:gsLst>
        <a:lin ang="5400000" scaled="0"/>
      </a:gradFill>
      <a:ln>
        <a:solidFill>
          <a:schemeClr val="phClr"/>
        </a:solidFill>
      </a:ln>
      <a:effectLst>
        <a:innerShdw dist="38100" dir="16200000">
          <a:schemeClr val="lt1"/>
        </a:innerShdw>
      </a:effectLst>
    </cs:spPr>
  </cs:dataPoint3D>
  <cs:dataPointLine>
    <cs:lnRef idx="0">
      <cs:styleClr val="auto"/>
    </cs:lnRef>
    <cs:fillRef idx="0"/>
    <cs:effectRef idx="0">
      <cs:styleClr val="auto"/>
    </cs:effectRef>
    <cs:fontRef idx="minor">
      <a:schemeClr val="lt1"/>
    </cs:fontRef>
    <cs:spPr>
      <a:ln w="34925" cap="rnd">
        <a:solidFill>
          <a:schemeClr val="lt1"/>
        </a:solidFill>
        <a:round/>
      </a:ln>
      <a:effectLst>
        <a:outerShdw dist="25400" dir="2700000" algn="tl" rotWithShape="0">
          <a:schemeClr val="phClr"/>
        </a:outerShdw>
      </a:effectLst>
    </cs:spPr>
  </cs:dataPointLine>
  <cs:dataPointMarker>
    <cs:lnRef idx="0"/>
    <cs:fillRef idx="0">
      <cs:styleClr val="auto"/>
    </cs:fillRef>
    <cs:effectRef idx="0"/>
    <cs:fontRef idx="minor">
      <a:schemeClr val="lt1"/>
    </cs:fontRef>
    <cs:spPr>
      <a:solidFill>
        <a:schemeClr val="phClr"/>
      </a:solidFill>
      <a:ln w="22225">
        <a:solidFill>
          <a:schemeClr val="lt1"/>
        </a:solidFill>
        <a:round/>
      </a:ln>
    </cs:spPr>
  </cs:dataPointMarker>
  <cs:dataPointMarkerLayout symbol="circle" size="5"/>
  <cs:dataPointWireframe>
    <cs:lnRef idx="0">
      <cs:styleClr val="auto"/>
    </cs:lnRef>
    <cs:fillRef idx="0"/>
    <cs:effectRef idx="0"/>
    <cs:fontRef idx="minor">
      <a:schemeClr val="lt1"/>
    </cs:fontRef>
    <cs:spPr>
      <a:ln w="9525" cap="rnd">
        <a:solidFill>
          <a:schemeClr val="phClr"/>
        </a:solidFill>
        <a:round/>
      </a:ln>
    </cs:spPr>
  </cs:dataPointWireframe>
  <cs:dataTable>
    <cs:lnRef idx="0">
      <cs:styleClr val="0"/>
    </cs:lnRef>
    <cs:fillRef idx="0"/>
    <cs:effectRef idx="0"/>
    <cs:fontRef idx="minor">
      <a:schemeClr val="lt1"/>
    </cs:fontRef>
    <cs:spPr>
      <a:ln w="9525">
        <a:solidFill>
          <a:schemeClr val="phClr">
            <a:lumMod val="40000"/>
            <a:lumOff val="60000"/>
            <a:alpha val="25000"/>
          </a:schemeClr>
        </a:solidFill>
      </a:ln>
    </cs:spPr>
    <cs:defRPr sz="900" kern="1200"/>
  </cs:dataTable>
  <cs:downBar>
    <cs:lnRef idx="0">
      <cs:styleClr val="0"/>
    </cs:lnRef>
    <cs:fillRef idx="0"/>
    <cs:effectRef idx="0"/>
    <cs:fontRef idx="minor">
      <a:schemeClr val="lt1"/>
    </cs:fontRef>
    <cs:spPr>
      <a:solidFill>
        <a:schemeClr val="dk1">
          <a:lumMod val="35000"/>
          <a:lumOff val="65000"/>
        </a:schemeClr>
      </a:solidFill>
      <a:ln w="9525">
        <a:solidFill>
          <a:schemeClr val="phClr">
            <a:lumMod val="60000"/>
            <a:lumOff val="40000"/>
          </a:schemeClr>
        </a:solidFill>
      </a:ln>
    </cs:spPr>
  </cs:downBar>
  <cs:dropLine>
    <cs:lnRef idx="0"/>
    <cs:fillRef idx="0"/>
    <cs:effectRef idx="0"/>
    <cs:fontRef idx="minor">
      <a:schemeClr val="lt1"/>
    </cs:fontRef>
    <cs:spPr>
      <a:ln w="9525" cap="flat" cmpd="sng" algn="ctr">
        <a:gradFill>
          <a:gsLst>
            <a:gs pos="0">
              <a:schemeClr val="lt1"/>
            </a:gs>
            <a:gs pos="50000">
              <a:schemeClr val="lt1">
                <a:alpha val="0"/>
              </a:schemeClr>
            </a:gs>
          </a:gsLst>
          <a:lin ang="5400000" scaled="0"/>
        </a:gradFill>
        <a:round/>
      </a:ln>
    </cs:spPr>
  </cs:dropLine>
  <cs:errorBar>
    <cs:lnRef idx="0">
      <cs:styleClr val="0"/>
    </cs:lnRef>
    <cs:fillRef idx="0"/>
    <cs:effectRef idx="0"/>
    <cs:fontRef idx="minor">
      <a:schemeClr val="lt1"/>
    </cs:fontRef>
    <cs:spPr>
      <a:ln w="9525">
        <a:solidFill>
          <a:schemeClr val="phClr">
            <a:lumMod val="60000"/>
            <a:lumOff val="40000"/>
          </a:schemeClr>
        </a:solidFill>
        <a:round/>
      </a:ln>
      <a:effectLst>
        <a:glow rad="25400">
          <a:schemeClr val="lt1"/>
        </a:glow>
      </a:effectLst>
    </cs:spPr>
  </cs:errorBar>
  <cs:floor>
    <cs:lnRef idx="0"/>
    <cs:fillRef idx="0"/>
    <cs:effectRef idx="0"/>
    <cs:fontRef idx="minor">
      <a:schemeClr val="lt1"/>
    </cs:fontRef>
  </cs:floor>
  <cs:gridlineMajor>
    <cs:lnRef idx="0">
      <cs:styleClr val="0"/>
    </cs:lnRef>
    <cs:fillRef idx="0"/>
    <cs:effectRef idx="0"/>
    <cs:fontRef idx="minor">
      <a:schemeClr val="lt1"/>
    </cs:fontRef>
    <cs:spPr>
      <a:ln>
        <a:solidFill>
          <a:schemeClr val="phClr">
            <a:lumMod val="40000"/>
            <a:lumOff val="60000"/>
            <a:alpha val="25000"/>
          </a:schemeClr>
        </a:solidFill>
      </a:ln>
    </cs:spPr>
  </cs:gridlineMajor>
  <cs:gridlineMinor>
    <cs:lnRef idx="0">
      <cs:styleClr val="0"/>
    </cs:lnRef>
    <cs:fillRef idx="0"/>
    <cs:effectRef idx="0"/>
    <cs:fontRef idx="minor">
      <a:schemeClr val="lt1"/>
    </cs:fontRef>
    <cs:spPr>
      <a:ln>
        <a:solidFill>
          <a:schemeClr val="phClr">
            <a:lumMod val="40000"/>
            <a:lumOff val="60000"/>
            <a:alpha val="25000"/>
          </a:schemeClr>
        </a:solidFill>
      </a:ln>
    </cs:spPr>
  </cs:gridlineMinor>
  <cs:hiLoLine>
    <cs:lnRef idx="0">
      <cs:styleClr val="0"/>
    </cs:lnRef>
    <cs:fillRef idx="0"/>
    <cs:effectRef idx="0"/>
    <cs:fontRef idx="minor">
      <a:schemeClr val="lt1"/>
    </cs:fontRef>
    <cs:spPr>
      <a:ln w="9525">
        <a:solidFill>
          <a:schemeClr val="phClr">
            <a:lumMod val="60000"/>
            <a:lumOff val="40000"/>
          </a:schemeClr>
        </a:solidFill>
      </a:ln>
    </cs:spPr>
  </cs:hiLoLine>
  <cs:leaderLine>
    <cs:lnRef idx="0">
      <cs:styleClr val="0"/>
    </cs:lnRef>
    <cs:fillRef idx="0"/>
    <cs:effectRef idx="0"/>
    <cs:fontRef idx="minor">
      <a:schemeClr val="lt1"/>
    </cs:fontRef>
    <cs:spPr>
      <a:ln w="9525">
        <a:solidFill>
          <a:schemeClr val="phClr">
            <a:lumMod val="60000"/>
            <a:lumOff val="40000"/>
          </a:schemeClr>
        </a:solidFill>
      </a:ln>
    </cs:spPr>
  </cs:leaderLine>
  <cs:legend>
    <cs:lnRef idx="0"/>
    <cs:fillRef idx="0"/>
    <cs:effectRef idx="0"/>
    <cs:fontRef idx="minor">
      <a:schemeClr val="lt1"/>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styleClr val="0"/>
    </cs:lnRef>
    <cs:fillRef idx="0"/>
    <cs:effectRef idx="0"/>
    <cs:fontRef idx="minor">
      <a:schemeClr val="lt1"/>
    </cs:fontRef>
    <cs:spPr>
      <a:ln w="9525" cap="flat" cmpd="sng" algn="ctr">
        <a:solidFill>
          <a:schemeClr val="phClr">
            <a:lumMod val="40000"/>
            <a:lumOff val="60000"/>
            <a:alpha val="25000"/>
          </a:schemeClr>
        </a:solidFill>
        <a:round/>
      </a:ln>
    </cs:spPr>
    <cs:defRPr sz="900" kern="1200"/>
  </cs:seriesAxis>
  <cs:seriesLine>
    <cs:lnRef idx="0">
      <cs:styleClr val="0"/>
    </cs:lnRef>
    <cs:fillRef idx="0"/>
    <cs:effectRef idx="0"/>
    <cs:fontRef idx="minor">
      <a:schemeClr val="lt1"/>
    </cs:fontRef>
    <cs:spPr>
      <a:ln w="9525">
        <a:solidFill>
          <a:schemeClr val="phClr">
            <a:lumMod val="60000"/>
            <a:lumOff val="40000"/>
            <a:tint val="50000"/>
          </a:schemeClr>
        </a:solidFill>
        <a:prstDash val="dash"/>
      </a:ln>
    </cs:spPr>
  </cs:seriesLine>
  <cs:title>
    <cs:lnRef idx="0"/>
    <cs:fillRef idx="0"/>
    <cs:effectRef idx="0"/>
    <cs:fontRef idx="minor">
      <a:schemeClr val="lt1"/>
    </cs:fontRef>
    <cs:defRPr sz="1500" b="1" kern="1200" cap="all" spc="100" normalizeH="0" baseline="0"/>
  </cs:title>
  <cs:trendline>
    <cs:lnRef idx="0"/>
    <cs:fillRef idx="0"/>
    <cs:effectRef idx="0"/>
    <cs:fontRef idx="minor">
      <a:schemeClr val="lt1"/>
    </cs:fontRef>
    <cs:spPr>
      <a:ln w="28575" cap="rnd">
        <a:solidFill>
          <a:schemeClr val="lt1">
            <a:alpha val="50000"/>
          </a:schemeClr>
        </a:solidFill>
        <a:round/>
      </a:ln>
    </cs:spPr>
  </cs:trendline>
  <cs:trendlineLabel>
    <cs:lnRef idx="0"/>
    <cs:fillRef idx="0"/>
    <cs:effectRef idx="0"/>
    <cs:fontRef idx="minor">
      <a:schemeClr val="lt1"/>
    </cs:fontRef>
    <cs:defRPr sz="900" kern="1200"/>
  </cs:trendlineLabel>
  <cs:upBar>
    <cs:lnRef idx="0">
      <cs:styleClr val="0"/>
    </cs:lnRef>
    <cs:fillRef idx="0"/>
    <cs:effectRef idx="0"/>
    <cs:fontRef idx="minor">
      <a:schemeClr val="lt1"/>
    </cs:fontRef>
    <cs:spPr>
      <a:solidFill>
        <a:schemeClr val="lt1">
          <a:lumMod val="95000"/>
        </a:schemeClr>
      </a:solidFill>
      <a:ln w="9525">
        <a:solidFill>
          <a:schemeClr val="phClr">
            <a:lumMod val="60000"/>
            <a:lumOff val="40000"/>
          </a:schemeClr>
        </a:solidFill>
      </a:ln>
    </cs:spPr>
  </cs:upBar>
  <cs:valueAxis>
    <cs:lnRef idx="0"/>
    <cs:fillRef idx="0"/>
    <cs:effectRef idx="0"/>
    <cs:fontRef idx="minor">
      <a:schemeClr val="lt1"/>
    </cs:fontRef>
    <cs:defRPr sz="900" kern="1200"/>
    <cs:bodyPr/>
  </cs:valueAxis>
  <cs:wall>
    <cs:lnRef idx="0"/>
    <cs:fillRef idx="0"/>
    <cs:effectRef idx="0"/>
    <cs:fontRef idx="minor">
      <a:schemeClr val="lt1"/>
    </cs:fontRef>
  </cs:wall>
</cs:chartStyle>
</file>

<file path=xl/charts/style10.xml><?xml version="1.0" encoding="utf-8"?>
<cs:chartStyle xmlns:cs="http://schemas.microsoft.com/office/drawing/2012/chartStyle" xmlns:a="http://schemas.openxmlformats.org/drawingml/2006/main" id="285">
  <cs:axisTitle>
    <cs:lnRef idx="0"/>
    <cs:fillRef idx="0"/>
    <cs:effectRef idx="0"/>
    <cs:fontRef idx="minor">
      <a:schemeClr val="lt1"/>
    </cs:fontRef>
    <cs:defRPr sz="900" kern="1200"/>
  </cs:axisTitle>
  <cs:categoryAxis>
    <cs:lnRef idx="0">
      <cs:styleClr val="0"/>
    </cs:lnRef>
    <cs:fillRef idx="0"/>
    <cs:effectRef idx="0"/>
    <cs:fontRef idx="minor">
      <a:schemeClr val="lt1"/>
    </cs:fontRef>
    <cs:spPr>
      <a:ln w="9525" cap="flat" cmpd="sng" algn="ctr">
        <a:solidFill>
          <a:schemeClr val="phClr">
            <a:lumMod val="40000"/>
            <a:lumOff val="60000"/>
            <a:alpha val="25000"/>
          </a:schemeClr>
        </a:solidFill>
        <a:round/>
      </a:ln>
    </cs:spPr>
    <cs:defRPr sz="900" kern="1200"/>
  </cs:categoryAxis>
  <cs:chartArea>
    <cs:lnRef idx="0">
      <cs:styleClr val="0"/>
    </cs:lnRef>
    <cs:fillRef idx="0">
      <cs:styleClr val="0"/>
    </cs:fillRef>
    <cs:effectRef idx="0"/>
    <cs:fontRef idx="minor">
      <a:schemeClr val="lt1"/>
    </cs:fontRef>
    <cs:spPr>
      <a:solidFill>
        <a:schemeClr val="phClr"/>
      </a:solidFill>
      <a:ln w="9525" cap="flat" cmpd="sng" algn="ctr">
        <a:solidFill>
          <a:schemeClr val="phClr"/>
        </a:solidFill>
        <a:round/>
      </a:ln>
    </cs:spPr>
    <cs:defRPr sz="900" kern="1200"/>
  </cs:chartArea>
  <cs:dataLabel>
    <cs:lnRef idx="0"/>
    <cs:fillRef idx="0"/>
    <cs:effectRef idx="0"/>
    <cs:fontRef idx="minor">
      <a:schemeClr val="lt1"/>
    </cs:fontRef>
    <cs:defRPr sz="900" b="1" kern="1200"/>
  </cs:dataLabel>
  <cs:dataLabelCallout>
    <cs:lnRef idx="0">
      <cs:styleClr val="auto"/>
    </cs:lnRef>
    <cs:fillRef idx="0"/>
    <cs:effectRef idx="0"/>
    <cs:fontRef idx="minor">
      <cs:styleClr val="auto"/>
    </cs:fontRef>
    <cs:spPr>
      <a:solidFill>
        <a:schemeClr val="lt1"/>
      </a:solidFill>
      <a:ln>
        <a:solidFill>
          <a:schemeClr val="phClr"/>
        </a:solidFill>
      </a:ln>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0"/>
    <cs:effectRef idx="0"/>
    <cs:fontRef idx="minor">
      <a:schemeClr val="tx1"/>
    </cs:fontRef>
    <cs:spPr>
      <a:gradFill>
        <a:gsLst>
          <a:gs pos="0">
            <a:schemeClr val="lt1">
              <a:alpha val="50000"/>
            </a:schemeClr>
          </a:gs>
          <a:gs pos="100000">
            <a:schemeClr val="lt1">
              <a:alpha val="0"/>
            </a:schemeClr>
          </a:gs>
        </a:gsLst>
        <a:lin ang="5400000" scaled="0"/>
      </a:gradFill>
      <a:ln>
        <a:solidFill>
          <a:schemeClr val="phClr"/>
        </a:solidFill>
      </a:ln>
      <a:effectLst>
        <a:innerShdw dist="38100" dir="16200000">
          <a:schemeClr val="lt1"/>
        </a:innerShdw>
      </a:effectLst>
    </cs:spPr>
  </cs:dataPoint>
  <cs:dataPoint3D>
    <cs:lnRef idx="0">
      <cs:styleClr val="auto"/>
    </cs:lnRef>
    <cs:fillRef idx="0"/>
    <cs:effectRef idx="0"/>
    <cs:fontRef idx="minor">
      <a:schemeClr val="lt1"/>
    </cs:fontRef>
    <cs:spPr>
      <a:gradFill>
        <a:gsLst>
          <a:gs pos="0">
            <a:schemeClr val="lt1">
              <a:alpha val="50000"/>
            </a:schemeClr>
          </a:gs>
          <a:gs pos="100000">
            <a:schemeClr val="lt1">
              <a:alpha val="0"/>
            </a:schemeClr>
          </a:gs>
        </a:gsLst>
        <a:lin ang="5400000" scaled="0"/>
      </a:gradFill>
      <a:ln>
        <a:solidFill>
          <a:schemeClr val="phClr"/>
        </a:solidFill>
      </a:ln>
      <a:effectLst>
        <a:innerShdw dist="38100" dir="16200000">
          <a:schemeClr val="lt1"/>
        </a:innerShdw>
      </a:effectLst>
    </cs:spPr>
  </cs:dataPoint3D>
  <cs:dataPointLine>
    <cs:lnRef idx="0">
      <cs:styleClr val="auto"/>
    </cs:lnRef>
    <cs:fillRef idx="0"/>
    <cs:effectRef idx="0">
      <cs:styleClr val="auto"/>
    </cs:effectRef>
    <cs:fontRef idx="minor">
      <a:schemeClr val="lt1"/>
    </cs:fontRef>
    <cs:spPr>
      <a:ln w="34925" cap="rnd">
        <a:solidFill>
          <a:schemeClr val="lt1"/>
        </a:solidFill>
        <a:round/>
      </a:ln>
      <a:effectLst>
        <a:outerShdw dist="25400" dir="2700000" algn="tl" rotWithShape="0">
          <a:schemeClr val="phClr"/>
        </a:outerShdw>
      </a:effectLst>
    </cs:spPr>
  </cs:dataPointLine>
  <cs:dataPointMarker>
    <cs:lnRef idx="0"/>
    <cs:fillRef idx="0">
      <cs:styleClr val="auto"/>
    </cs:fillRef>
    <cs:effectRef idx="0"/>
    <cs:fontRef idx="minor">
      <a:schemeClr val="lt1"/>
    </cs:fontRef>
    <cs:spPr>
      <a:solidFill>
        <a:schemeClr val="phClr"/>
      </a:solidFill>
      <a:ln w="22225">
        <a:solidFill>
          <a:schemeClr val="lt1"/>
        </a:solidFill>
        <a:round/>
      </a:ln>
    </cs:spPr>
  </cs:dataPointMarker>
  <cs:dataPointMarkerLayout symbol="circle" size="5"/>
  <cs:dataPointWireframe>
    <cs:lnRef idx="0">
      <cs:styleClr val="auto"/>
    </cs:lnRef>
    <cs:fillRef idx="0"/>
    <cs:effectRef idx="0"/>
    <cs:fontRef idx="minor">
      <a:schemeClr val="lt1"/>
    </cs:fontRef>
    <cs:spPr>
      <a:ln w="9525" cap="rnd">
        <a:solidFill>
          <a:schemeClr val="phClr"/>
        </a:solidFill>
        <a:round/>
      </a:ln>
    </cs:spPr>
  </cs:dataPointWireframe>
  <cs:dataTable>
    <cs:lnRef idx="0">
      <cs:styleClr val="0"/>
    </cs:lnRef>
    <cs:fillRef idx="0"/>
    <cs:effectRef idx="0"/>
    <cs:fontRef idx="minor">
      <a:schemeClr val="lt1"/>
    </cs:fontRef>
    <cs:spPr>
      <a:ln w="9525">
        <a:solidFill>
          <a:schemeClr val="phClr">
            <a:lumMod val="40000"/>
            <a:lumOff val="60000"/>
            <a:alpha val="25000"/>
          </a:schemeClr>
        </a:solidFill>
      </a:ln>
    </cs:spPr>
    <cs:defRPr sz="900" kern="1200"/>
  </cs:dataTable>
  <cs:downBar>
    <cs:lnRef idx="0">
      <cs:styleClr val="0"/>
    </cs:lnRef>
    <cs:fillRef idx="0"/>
    <cs:effectRef idx="0"/>
    <cs:fontRef idx="minor">
      <a:schemeClr val="lt1"/>
    </cs:fontRef>
    <cs:spPr>
      <a:solidFill>
        <a:schemeClr val="dk1">
          <a:lumMod val="35000"/>
          <a:lumOff val="65000"/>
        </a:schemeClr>
      </a:solidFill>
      <a:ln w="9525">
        <a:solidFill>
          <a:schemeClr val="phClr">
            <a:lumMod val="60000"/>
            <a:lumOff val="40000"/>
          </a:schemeClr>
        </a:solidFill>
      </a:ln>
    </cs:spPr>
  </cs:downBar>
  <cs:dropLine>
    <cs:lnRef idx="0"/>
    <cs:fillRef idx="0"/>
    <cs:effectRef idx="0"/>
    <cs:fontRef idx="minor">
      <a:schemeClr val="lt1"/>
    </cs:fontRef>
    <cs:spPr>
      <a:ln w="9525" cap="flat" cmpd="sng" algn="ctr">
        <a:gradFill>
          <a:gsLst>
            <a:gs pos="0">
              <a:schemeClr val="lt1"/>
            </a:gs>
            <a:gs pos="50000">
              <a:schemeClr val="lt1">
                <a:alpha val="0"/>
              </a:schemeClr>
            </a:gs>
          </a:gsLst>
          <a:lin ang="5400000" scaled="0"/>
        </a:gradFill>
        <a:round/>
      </a:ln>
    </cs:spPr>
  </cs:dropLine>
  <cs:errorBar>
    <cs:lnRef idx="0">
      <cs:styleClr val="0"/>
    </cs:lnRef>
    <cs:fillRef idx="0"/>
    <cs:effectRef idx="0"/>
    <cs:fontRef idx="minor">
      <a:schemeClr val="lt1"/>
    </cs:fontRef>
    <cs:spPr>
      <a:ln w="9525">
        <a:solidFill>
          <a:schemeClr val="phClr">
            <a:lumMod val="60000"/>
            <a:lumOff val="40000"/>
          </a:schemeClr>
        </a:solidFill>
        <a:round/>
      </a:ln>
      <a:effectLst>
        <a:glow rad="25400">
          <a:schemeClr val="lt1"/>
        </a:glow>
      </a:effectLst>
    </cs:spPr>
  </cs:errorBar>
  <cs:floor>
    <cs:lnRef idx="0"/>
    <cs:fillRef idx="0"/>
    <cs:effectRef idx="0"/>
    <cs:fontRef idx="minor">
      <a:schemeClr val="lt1"/>
    </cs:fontRef>
  </cs:floor>
  <cs:gridlineMajor>
    <cs:lnRef idx="0">
      <cs:styleClr val="0"/>
    </cs:lnRef>
    <cs:fillRef idx="0"/>
    <cs:effectRef idx="0"/>
    <cs:fontRef idx="minor">
      <a:schemeClr val="lt1"/>
    </cs:fontRef>
    <cs:spPr>
      <a:ln>
        <a:solidFill>
          <a:schemeClr val="phClr">
            <a:lumMod val="40000"/>
            <a:lumOff val="60000"/>
            <a:alpha val="25000"/>
          </a:schemeClr>
        </a:solidFill>
      </a:ln>
    </cs:spPr>
  </cs:gridlineMajor>
  <cs:gridlineMinor>
    <cs:lnRef idx="0">
      <cs:styleClr val="0"/>
    </cs:lnRef>
    <cs:fillRef idx="0"/>
    <cs:effectRef idx="0"/>
    <cs:fontRef idx="minor">
      <a:schemeClr val="lt1"/>
    </cs:fontRef>
    <cs:spPr>
      <a:ln>
        <a:solidFill>
          <a:schemeClr val="phClr">
            <a:lumMod val="40000"/>
            <a:lumOff val="60000"/>
            <a:alpha val="25000"/>
          </a:schemeClr>
        </a:solidFill>
      </a:ln>
    </cs:spPr>
  </cs:gridlineMinor>
  <cs:hiLoLine>
    <cs:lnRef idx="0">
      <cs:styleClr val="0"/>
    </cs:lnRef>
    <cs:fillRef idx="0"/>
    <cs:effectRef idx="0"/>
    <cs:fontRef idx="minor">
      <a:schemeClr val="lt1"/>
    </cs:fontRef>
    <cs:spPr>
      <a:ln w="9525">
        <a:solidFill>
          <a:schemeClr val="phClr">
            <a:lumMod val="60000"/>
            <a:lumOff val="40000"/>
          </a:schemeClr>
        </a:solidFill>
      </a:ln>
    </cs:spPr>
  </cs:hiLoLine>
  <cs:leaderLine>
    <cs:lnRef idx="0">
      <cs:styleClr val="0"/>
    </cs:lnRef>
    <cs:fillRef idx="0"/>
    <cs:effectRef idx="0"/>
    <cs:fontRef idx="minor">
      <a:schemeClr val="lt1"/>
    </cs:fontRef>
    <cs:spPr>
      <a:ln w="9525">
        <a:solidFill>
          <a:schemeClr val="phClr">
            <a:lumMod val="60000"/>
            <a:lumOff val="40000"/>
          </a:schemeClr>
        </a:solidFill>
      </a:ln>
    </cs:spPr>
  </cs:leaderLine>
  <cs:legend>
    <cs:lnRef idx="0"/>
    <cs:fillRef idx="0"/>
    <cs:effectRef idx="0"/>
    <cs:fontRef idx="minor">
      <a:schemeClr val="lt1"/>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styleClr val="0"/>
    </cs:lnRef>
    <cs:fillRef idx="0"/>
    <cs:effectRef idx="0"/>
    <cs:fontRef idx="minor">
      <a:schemeClr val="lt1"/>
    </cs:fontRef>
    <cs:spPr>
      <a:ln w="9525" cap="flat" cmpd="sng" algn="ctr">
        <a:solidFill>
          <a:schemeClr val="phClr">
            <a:lumMod val="40000"/>
            <a:lumOff val="60000"/>
            <a:alpha val="25000"/>
          </a:schemeClr>
        </a:solidFill>
        <a:round/>
      </a:ln>
    </cs:spPr>
    <cs:defRPr sz="900" kern="1200"/>
  </cs:seriesAxis>
  <cs:seriesLine>
    <cs:lnRef idx="0">
      <cs:styleClr val="0"/>
    </cs:lnRef>
    <cs:fillRef idx="0"/>
    <cs:effectRef idx="0"/>
    <cs:fontRef idx="minor">
      <a:schemeClr val="lt1"/>
    </cs:fontRef>
    <cs:spPr>
      <a:ln w="9525">
        <a:solidFill>
          <a:schemeClr val="phClr">
            <a:lumMod val="60000"/>
            <a:lumOff val="40000"/>
            <a:tint val="50000"/>
          </a:schemeClr>
        </a:solidFill>
        <a:prstDash val="dash"/>
      </a:ln>
    </cs:spPr>
  </cs:seriesLine>
  <cs:title>
    <cs:lnRef idx="0"/>
    <cs:fillRef idx="0"/>
    <cs:effectRef idx="0"/>
    <cs:fontRef idx="minor">
      <a:schemeClr val="lt1"/>
    </cs:fontRef>
    <cs:defRPr sz="1500" b="1" kern="1200" cap="all" spc="100" normalizeH="0" baseline="0"/>
  </cs:title>
  <cs:trendline>
    <cs:lnRef idx="0"/>
    <cs:fillRef idx="0"/>
    <cs:effectRef idx="0"/>
    <cs:fontRef idx="minor">
      <a:schemeClr val="lt1"/>
    </cs:fontRef>
    <cs:spPr>
      <a:ln w="28575" cap="rnd">
        <a:solidFill>
          <a:schemeClr val="lt1">
            <a:alpha val="50000"/>
          </a:schemeClr>
        </a:solidFill>
        <a:round/>
      </a:ln>
    </cs:spPr>
  </cs:trendline>
  <cs:trendlineLabel>
    <cs:lnRef idx="0"/>
    <cs:fillRef idx="0"/>
    <cs:effectRef idx="0"/>
    <cs:fontRef idx="minor">
      <a:schemeClr val="lt1"/>
    </cs:fontRef>
    <cs:defRPr sz="900" kern="1200"/>
  </cs:trendlineLabel>
  <cs:upBar>
    <cs:lnRef idx="0">
      <cs:styleClr val="0"/>
    </cs:lnRef>
    <cs:fillRef idx="0"/>
    <cs:effectRef idx="0"/>
    <cs:fontRef idx="minor">
      <a:schemeClr val="lt1"/>
    </cs:fontRef>
    <cs:spPr>
      <a:solidFill>
        <a:schemeClr val="lt1">
          <a:lumMod val="95000"/>
        </a:schemeClr>
      </a:solidFill>
      <a:ln w="9525">
        <a:solidFill>
          <a:schemeClr val="phClr">
            <a:lumMod val="60000"/>
            <a:lumOff val="40000"/>
          </a:schemeClr>
        </a:solidFill>
      </a:ln>
    </cs:spPr>
  </cs:upBar>
  <cs:valueAxis>
    <cs:lnRef idx="0"/>
    <cs:fillRef idx="0"/>
    <cs:effectRef idx="0"/>
    <cs:fontRef idx="minor">
      <a:schemeClr val="lt1"/>
    </cs:fontRef>
    <cs:defRPr sz="900" kern="1200"/>
    <cs:bodyPr/>
  </cs:valueAxis>
  <cs:wall>
    <cs:lnRef idx="0"/>
    <cs:fillRef idx="0"/>
    <cs:effectRef idx="0"/>
    <cs:fontRef idx="minor">
      <a:schemeClr val="lt1"/>
    </cs:fontRef>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8" Type="http://schemas.openxmlformats.org/officeDocument/2006/relationships/hyperlink" Target="#'Daily ER no of patients'!A1"/><Relationship Id="rId13" Type="http://schemas.openxmlformats.org/officeDocument/2006/relationships/chart" Target="../charts/chart4.xml"/><Relationship Id="rId18" Type="http://schemas.openxmlformats.org/officeDocument/2006/relationships/chart" Target="../charts/chart8.xml"/><Relationship Id="rId3" Type="http://schemas.openxmlformats.org/officeDocument/2006/relationships/image" Target="../media/image3.svg"/><Relationship Id="rId7" Type="http://schemas.openxmlformats.org/officeDocument/2006/relationships/image" Target="../media/image7.svg"/><Relationship Id="rId12" Type="http://schemas.openxmlformats.org/officeDocument/2006/relationships/hyperlink" Target="#'Average Satisfaction Score'!A1"/><Relationship Id="rId17" Type="http://schemas.openxmlformats.org/officeDocument/2006/relationships/chart" Target="../charts/chart7.xml"/><Relationship Id="rId2" Type="http://schemas.openxmlformats.org/officeDocument/2006/relationships/image" Target="../media/image2.png"/><Relationship Id="rId16" Type="http://schemas.openxmlformats.org/officeDocument/2006/relationships/chart" Target="../charts/chart6.xml"/><Relationship Id="rId1" Type="http://schemas.openxmlformats.org/officeDocument/2006/relationships/image" Target="../media/image1.png"/><Relationship Id="rId6" Type="http://schemas.openxmlformats.org/officeDocument/2006/relationships/image" Target="../media/image6.png"/><Relationship Id="rId11" Type="http://schemas.openxmlformats.org/officeDocument/2006/relationships/chart" Target="../charts/chart3.xml"/><Relationship Id="rId5" Type="http://schemas.openxmlformats.org/officeDocument/2006/relationships/image" Target="../media/image5.svg"/><Relationship Id="rId15" Type="http://schemas.openxmlformats.org/officeDocument/2006/relationships/chart" Target="../charts/chart5.xml"/><Relationship Id="rId10" Type="http://schemas.openxmlformats.org/officeDocument/2006/relationships/hyperlink" Target="#'Average waittime per day'!A1"/><Relationship Id="rId4" Type="http://schemas.openxmlformats.org/officeDocument/2006/relationships/image" Target="../media/image4.png"/><Relationship Id="rId9" Type="http://schemas.openxmlformats.org/officeDocument/2006/relationships/chart" Target="../charts/chart2.xml"/><Relationship Id="rId14" Type="http://schemas.openxmlformats.org/officeDocument/2006/relationships/image" Target="../media/image8.emf"/></Relationships>
</file>

<file path=xl/drawings/_rels/drawing4.xml.rels><?xml version="1.0" encoding="UTF-8" standalone="yes"?>
<Relationships xmlns="http://schemas.openxmlformats.org/package/2006/relationships"><Relationship Id="rId3" Type="http://schemas.openxmlformats.org/officeDocument/2006/relationships/image" Target="../media/image10.png"/><Relationship Id="rId2" Type="http://schemas.openxmlformats.org/officeDocument/2006/relationships/hyperlink" Target="#Dashboard!A1"/><Relationship Id="rId1" Type="http://schemas.openxmlformats.org/officeDocument/2006/relationships/chart" Target="../charts/chart9.xml"/><Relationship Id="rId4" Type="http://schemas.openxmlformats.org/officeDocument/2006/relationships/image" Target="../media/image11.svg"/></Relationships>
</file>

<file path=xl/drawings/_rels/drawing6.xml.rels><?xml version="1.0" encoding="UTF-8" standalone="yes"?>
<Relationships xmlns="http://schemas.openxmlformats.org/package/2006/relationships"><Relationship Id="rId1" Type="http://schemas.openxmlformats.org/officeDocument/2006/relationships/chart" Target="../charts/chart10.xml"/></Relationships>
</file>

<file path=xl/drawings/_rels/drawing7.xml.rels><?xml version="1.0" encoding="UTF-8" standalone="yes"?>
<Relationships xmlns="http://schemas.openxmlformats.org/package/2006/relationships"><Relationship Id="rId3" Type="http://schemas.openxmlformats.org/officeDocument/2006/relationships/image" Target="../media/image12.svg"/><Relationship Id="rId2" Type="http://schemas.openxmlformats.org/officeDocument/2006/relationships/image" Target="../media/image10.png"/><Relationship Id="rId1" Type="http://schemas.openxmlformats.org/officeDocument/2006/relationships/hyperlink" Target="#Dashboard!A1"/></Relationships>
</file>

<file path=xl/drawings/_rels/drawing8.xml.rels><?xml version="1.0" encoding="UTF-8" standalone="yes"?>
<Relationships xmlns="http://schemas.openxmlformats.org/package/2006/relationships"><Relationship Id="rId1" Type="http://schemas.openxmlformats.org/officeDocument/2006/relationships/chart" Target="../charts/chart11.xml"/></Relationships>
</file>

<file path=xl/drawings/_rels/drawing9.xml.rels><?xml version="1.0" encoding="UTF-8" standalone="yes"?>
<Relationships xmlns="http://schemas.openxmlformats.org/package/2006/relationships"><Relationship Id="rId3" Type="http://schemas.openxmlformats.org/officeDocument/2006/relationships/image" Target="../media/image11.svg"/><Relationship Id="rId2" Type="http://schemas.openxmlformats.org/officeDocument/2006/relationships/image" Target="../media/image10.png"/><Relationship Id="rId1" Type="http://schemas.openxmlformats.org/officeDocument/2006/relationships/hyperlink" Target="#Dashboard!A1"/></Relationships>
</file>

<file path=xl/drawings/_rels/vmlDrawing1.vml.rels><?xml version="1.0" encoding="UTF-8" standalone="yes"?>
<Relationships xmlns="http://schemas.openxmlformats.org/package/2006/relationships"><Relationship Id="rId1" Type="http://schemas.openxmlformats.org/officeDocument/2006/relationships/image" Target="../media/image9.png"/></Relationships>
</file>

<file path=xl/drawings/drawing1.xml><?xml version="1.0" encoding="utf-8"?>
<xdr:wsDr xmlns:xdr="http://schemas.openxmlformats.org/drawingml/2006/spreadsheetDrawing" xmlns:a="http://schemas.openxmlformats.org/drawingml/2006/main">
  <xdr:twoCellAnchor>
    <xdr:from>
      <xdr:col>3</xdr:col>
      <xdr:colOff>0</xdr:colOff>
      <xdr:row>52</xdr:row>
      <xdr:rowOff>0</xdr:rowOff>
    </xdr:from>
    <xdr:to>
      <xdr:col>4</xdr:col>
      <xdr:colOff>0</xdr:colOff>
      <xdr:row>53</xdr:row>
      <xdr:rowOff>175260</xdr:rowOff>
    </xdr:to>
    <xdr:graphicFrame macro="">
      <xdr:nvGraphicFramePr>
        <xdr:cNvPr id="7" name="Chart 6">
          <a:extLst>
            <a:ext uri="{FF2B5EF4-FFF2-40B4-BE49-F238E27FC236}">
              <a16:creationId xmlns:a16="http://schemas.microsoft.com/office/drawing/2014/main" id="{5D78D660-4B9E-28C3-44CD-D88CA21C278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absolute">
    <xdr:from>
      <xdr:col>0</xdr:col>
      <xdr:colOff>109483</xdr:colOff>
      <xdr:row>0</xdr:row>
      <xdr:rowOff>96345</xdr:rowOff>
    </xdr:from>
    <xdr:to>
      <xdr:col>5</xdr:col>
      <xdr:colOff>183931</xdr:colOff>
      <xdr:row>3</xdr:row>
      <xdr:rowOff>61310</xdr:rowOff>
    </xdr:to>
    <xdr:sp macro="" textlink="">
      <xdr:nvSpPr>
        <xdr:cNvPr id="2" name="Rectangle: Rounded Corners 1">
          <a:extLst>
            <a:ext uri="{FF2B5EF4-FFF2-40B4-BE49-F238E27FC236}">
              <a16:creationId xmlns:a16="http://schemas.microsoft.com/office/drawing/2014/main" id="{656AE4A0-688B-9E7A-6BD1-A8790CB4566A}"/>
            </a:ext>
          </a:extLst>
        </xdr:cNvPr>
        <xdr:cNvSpPr/>
      </xdr:nvSpPr>
      <xdr:spPr>
        <a:xfrm>
          <a:off x="109483" y="96345"/>
          <a:ext cx="3118069" cy="516758"/>
        </a:xfrm>
        <a:prstGeom prst="roundRect">
          <a:avLst>
            <a:gd name="adj" fmla="val 20057"/>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editAs="absolute">
    <xdr:from>
      <xdr:col>5</xdr:col>
      <xdr:colOff>218965</xdr:colOff>
      <xdr:row>0</xdr:row>
      <xdr:rowOff>96344</xdr:rowOff>
    </xdr:from>
    <xdr:to>
      <xdr:col>6</xdr:col>
      <xdr:colOff>591207</xdr:colOff>
      <xdr:row>3</xdr:row>
      <xdr:rowOff>83207</xdr:rowOff>
    </xdr:to>
    <xdr:sp macro="" textlink="">
      <xdr:nvSpPr>
        <xdr:cNvPr id="3" name="Rectangle: Rounded Corners 2">
          <a:extLst>
            <a:ext uri="{FF2B5EF4-FFF2-40B4-BE49-F238E27FC236}">
              <a16:creationId xmlns:a16="http://schemas.microsoft.com/office/drawing/2014/main" id="{78BC3BAE-4EE7-54D0-B6B6-C62C9F84BE80}"/>
            </a:ext>
          </a:extLst>
        </xdr:cNvPr>
        <xdr:cNvSpPr/>
      </xdr:nvSpPr>
      <xdr:spPr>
        <a:xfrm>
          <a:off x="3262586" y="96344"/>
          <a:ext cx="980966" cy="538656"/>
        </a:xfrm>
        <a:prstGeom prst="roundRect">
          <a:avLst>
            <a:gd name="adj" fmla="val 14125"/>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editAs="absolute">
    <xdr:from>
      <xdr:col>7</xdr:col>
      <xdr:colOff>61310</xdr:colOff>
      <xdr:row>0</xdr:row>
      <xdr:rowOff>83206</xdr:rowOff>
    </xdr:from>
    <xdr:to>
      <xdr:col>9</xdr:col>
      <xdr:colOff>131379</xdr:colOff>
      <xdr:row>7</xdr:row>
      <xdr:rowOff>118241</xdr:rowOff>
    </xdr:to>
    <xdr:sp macro="" textlink="">
      <xdr:nvSpPr>
        <xdr:cNvPr id="4" name="Rectangle: Rounded Corners 3">
          <a:extLst>
            <a:ext uri="{FF2B5EF4-FFF2-40B4-BE49-F238E27FC236}">
              <a16:creationId xmlns:a16="http://schemas.microsoft.com/office/drawing/2014/main" id="{4AD6F749-66DD-975A-5D86-611AD9625C4C}"/>
            </a:ext>
          </a:extLst>
        </xdr:cNvPr>
        <xdr:cNvSpPr/>
      </xdr:nvSpPr>
      <xdr:spPr>
        <a:xfrm>
          <a:off x="4322379" y="83206"/>
          <a:ext cx="1287517" cy="1322552"/>
        </a:xfrm>
        <a:prstGeom prst="roundRect">
          <a:avLst>
            <a:gd name="adj" fmla="val 8729"/>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editAs="absolute">
    <xdr:from>
      <xdr:col>9</xdr:col>
      <xdr:colOff>223347</xdr:colOff>
      <xdr:row>0</xdr:row>
      <xdr:rowOff>65691</xdr:rowOff>
    </xdr:from>
    <xdr:to>
      <xdr:col>11</xdr:col>
      <xdr:colOff>249620</xdr:colOff>
      <xdr:row>7</xdr:row>
      <xdr:rowOff>105103</xdr:rowOff>
    </xdr:to>
    <xdr:sp macro="" textlink="">
      <xdr:nvSpPr>
        <xdr:cNvPr id="5" name="Rectangle: Rounded Corners 4">
          <a:extLst>
            <a:ext uri="{FF2B5EF4-FFF2-40B4-BE49-F238E27FC236}">
              <a16:creationId xmlns:a16="http://schemas.microsoft.com/office/drawing/2014/main" id="{A8E23C69-DBF7-9F79-234B-36FE0C45F485}"/>
            </a:ext>
          </a:extLst>
        </xdr:cNvPr>
        <xdr:cNvSpPr/>
      </xdr:nvSpPr>
      <xdr:spPr>
        <a:xfrm>
          <a:off x="5701864" y="65691"/>
          <a:ext cx="1243722" cy="1326929"/>
        </a:xfrm>
        <a:prstGeom prst="roundRect">
          <a:avLst>
            <a:gd name="adj" fmla="val 7796"/>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editAs="absolute">
    <xdr:from>
      <xdr:col>0</xdr:col>
      <xdr:colOff>109484</xdr:colOff>
      <xdr:row>3</xdr:row>
      <xdr:rowOff>131379</xdr:rowOff>
    </xdr:from>
    <xdr:to>
      <xdr:col>1</xdr:col>
      <xdr:colOff>429174</xdr:colOff>
      <xdr:row>16</xdr:row>
      <xdr:rowOff>83206</xdr:rowOff>
    </xdr:to>
    <xdr:sp macro="" textlink="">
      <xdr:nvSpPr>
        <xdr:cNvPr id="6" name="Rectangle: Rounded Corners 5">
          <a:extLst>
            <a:ext uri="{FF2B5EF4-FFF2-40B4-BE49-F238E27FC236}">
              <a16:creationId xmlns:a16="http://schemas.microsoft.com/office/drawing/2014/main" id="{9E437EA0-9200-4776-2DA7-8721523C2F48}"/>
            </a:ext>
          </a:extLst>
        </xdr:cNvPr>
        <xdr:cNvSpPr/>
      </xdr:nvSpPr>
      <xdr:spPr>
        <a:xfrm>
          <a:off x="109484" y="683172"/>
          <a:ext cx="928414" cy="2342931"/>
        </a:xfrm>
        <a:prstGeom prst="roundRect">
          <a:avLst>
            <a:gd name="adj" fmla="val 7321"/>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editAs="absolute">
    <xdr:from>
      <xdr:col>1</xdr:col>
      <xdr:colOff>521139</xdr:colOff>
      <xdr:row>3</xdr:row>
      <xdr:rowOff>135759</xdr:rowOff>
    </xdr:from>
    <xdr:to>
      <xdr:col>3</xdr:col>
      <xdr:colOff>289034</xdr:colOff>
      <xdr:row>7</xdr:row>
      <xdr:rowOff>122622</xdr:rowOff>
    </xdr:to>
    <xdr:sp macro="" textlink="">
      <xdr:nvSpPr>
        <xdr:cNvPr id="7" name="Rectangle: Rounded Corners 6">
          <a:extLst>
            <a:ext uri="{FF2B5EF4-FFF2-40B4-BE49-F238E27FC236}">
              <a16:creationId xmlns:a16="http://schemas.microsoft.com/office/drawing/2014/main" id="{F6E4CC2C-4A48-CC20-4C5D-4B6EE9238F5E}"/>
            </a:ext>
          </a:extLst>
        </xdr:cNvPr>
        <xdr:cNvSpPr/>
      </xdr:nvSpPr>
      <xdr:spPr>
        <a:xfrm>
          <a:off x="1129863" y="687552"/>
          <a:ext cx="985343" cy="722587"/>
        </a:xfrm>
        <a:prstGeom prst="roundRect">
          <a:avLst>
            <a:gd name="adj" fmla="val 7321"/>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editAs="absolute">
    <xdr:from>
      <xdr:col>3</xdr:col>
      <xdr:colOff>354726</xdr:colOff>
      <xdr:row>3</xdr:row>
      <xdr:rowOff>131379</xdr:rowOff>
    </xdr:from>
    <xdr:to>
      <xdr:col>5</xdr:col>
      <xdr:colOff>122620</xdr:colOff>
      <xdr:row>7</xdr:row>
      <xdr:rowOff>118242</xdr:rowOff>
    </xdr:to>
    <xdr:sp macro="" textlink="">
      <xdr:nvSpPr>
        <xdr:cNvPr id="8" name="Rectangle: Rounded Corners 7">
          <a:extLst>
            <a:ext uri="{FF2B5EF4-FFF2-40B4-BE49-F238E27FC236}">
              <a16:creationId xmlns:a16="http://schemas.microsoft.com/office/drawing/2014/main" id="{45A89D6F-3A45-E9C6-0549-2CECAF2E6A53}"/>
            </a:ext>
          </a:extLst>
        </xdr:cNvPr>
        <xdr:cNvSpPr/>
      </xdr:nvSpPr>
      <xdr:spPr>
        <a:xfrm>
          <a:off x="2180898" y="683172"/>
          <a:ext cx="985343" cy="722587"/>
        </a:xfrm>
        <a:prstGeom prst="roundRect">
          <a:avLst>
            <a:gd name="adj" fmla="val 7321"/>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editAs="absolute">
    <xdr:from>
      <xdr:col>5</xdr:col>
      <xdr:colOff>214588</xdr:colOff>
      <xdr:row>3</xdr:row>
      <xdr:rowOff>131379</xdr:rowOff>
    </xdr:from>
    <xdr:to>
      <xdr:col>6</xdr:col>
      <xdr:colOff>564931</xdr:colOff>
      <xdr:row>7</xdr:row>
      <xdr:rowOff>118242</xdr:rowOff>
    </xdr:to>
    <xdr:sp macro="" textlink="">
      <xdr:nvSpPr>
        <xdr:cNvPr id="9" name="Rectangle: Rounded Corners 8">
          <a:extLst>
            <a:ext uri="{FF2B5EF4-FFF2-40B4-BE49-F238E27FC236}">
              <a16:creationId xmlns:a16="http://schemas.microsoft.com/office/drawing/2014/main" id="{DF3FD5B5-C5DE-CE32-8BE1-6C2772C8556B}"/>
            </a:ext>
          </a:extLst>
        </xdr:cNvPr>
        <xdr:cNvSpPr/>
      </xdr:nvSpPr>
      <xdr:spPr>
        <a:xfrm>
          <a:off x="3258209" y="683172"/>
          <a:ext cx="959067" cy="722587"/>
        </a:xfrm>
        <a:prstGeom prst="roundRect">
          <a:avLst>
            <a:gd name="adj" fmla="val 7321"/>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editAs="absolute">
    <xdr:from>
      <xdr:col>1</xdr:col>
      <xdr:colOff>525517</xdr:colOff>
      <xdr:row>11</xdr:row>
      <xdr:rowOff>39414</xdr:rowOff>
    </xdr:from>
    <xdr:to>
      <xdr:col>6</xdr:col>
      <xdr:colOff>582448</xdr:colOff>
      <xdr:row>16</xdr:row>
      <xdr:rowOff>83207</xdr:rowOff>
    </xdr:to>
    <xdr:sp macro="" textlink="">
      <xdr:nvSpPr>
        <xdr:cNvPr id="11" name="Rectangle: Rounded Corners 10">
          <a:extLst>
            <a:ext uri="{FF2B5EF4-FFF2-40B4-BE49-F238E27FC236}">
              <a16:creationId xmlns:a16="http://schemas.microsoft.com/office/drawing/2014/main" id="{7B0ED63D-110C-9B2C-1B8E-ED219C3EB9A1}"/>
            </a:ext>
          </a:extLst>
        </xdr:cNvPr>
        <xdr:cNvSpPr/>
      </xdr:nvSpPr>
      <xdr:spPr>
        <a:xfrm>
          <a:off x="1134241" y="2062655"/>
          <a:ext cx="3100552" cy="963449"/>
        </a:xfrm>
        <a:prstGeom prst="roundRect">
          <a:avLst>
            <a:gd name="adj" fmla="val 7321"/>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editAs="absolute">
    <xdr:from>
      <xdr:col>7</xdr:col>
      <xdr:colOff>96345</xdr:colOff>
      <xdr:row>8</xdr:row>
      <xdr:rowOff>8758</xdr:rowOff>
    </xdr:from>
    <xdr:to>
      <xdr:col>11</xdr:col>
      <xdr:colOff>254001</xdr:colOff>
      <xdr:row>16</xdr:row>
      <xdr:rowOff>56930</xdr:rowOff>
    </xdr:to>
    <xdr:sp macro="" textlink="">
      <xdr:nvSpPr>
        <xdr:cNvPr id="20" name="Rectangle: Rounded Corners 19">
          <a:extLst>
            <a:ext uri="{FF2B5EF4-FFF2-40B4-BE49-F238E27FC236}">
              <a16:creationId xmlns:a16="http://schemas.microsoft.com/office/drawing/2014/main" id="{C9C9BBB7-EEE9-B46A-548C-DDCE1D8477AB}"/>
            </a:ext>
          </a:extLst>
        </xdr:cNvPr>
        <xdr:cNvSpPr/>
      </xdr:nvSpPr>
      <xdr:spPr>
        <a:xfrm>
          <a:off x="4357414" y="1480206"/>
          <a:ext cx="2592553" cy="1519621"/>
        </a:xfrm>
        <a:prstGeom prst="roundRect">
          <a:avLst>
            <a:gd name="adj" fmla="val 7796"/>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editAs="absolute">
    <xdr:from>
      <xdr:col>1</xdr:col>
      <xdr:colOff>56931</xdr:colOff>
      <xdr:row>0</xdr:row>
      <xdr:rowOff>162034</xdr:rowOff>
    </xdr:from>
    <xdr:to>
      <xdr:col>5</xdr:col>
      <xdr:colOff>144518</xdr:colOff>
      <xdr:row>1</xdr:row>
      <xdr:rowOff>157655</xdr:rowOff>
    </xdr:to>
    <xdr:sp macro="" textlink="">
      <xdr:nvSpPr>
        <xdr:cNvPr id="21" name="TextBox 20">
          <a:extLst>
            <a:ext uri="{FF2B5EF4-FFF2-40B4-BE49-F238E27FC236}">
              <a16:creationId xmlns:a16="http://schemas.microsoft.com/office/drawing/2014/main" id="{B4752285-EAA9-AF5F-525C-466E7027851E}"/>
            </a:ext>
          </a:extLst>
        </xdr:cNvPr>
        <xdr:cNvSpPr txBox="1"/>
      </xdr:nvSpPr>
      <xdr:spPr>
        <a:xfrm>
          <a:off x="665655" y="162034"/>
          <a:ext cx="2522484" cy="17955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t"/>
        <a:lstStyle/>
        <a:p>
          <a:r>
            <a:rPr lang="en-IN" sz="1100"/>
            <a:t>HOSPITAL EMERGENCY ROOM DASHBOARD</a:t>
          </a:r>
        </a:p>
      </xdr:txBody>
    </xdr:sp>
    <xdr:clientData/>
  </xdr:twoCellAnchor>
  <xdr:twoCellAnchor editAs="oneCell">
    <xdr:from>
      <xdr:col>0</xdr:col>
      <xdr:colOff>157655</xdr:colOff>
      <xdr:row>0</xdr:row>
      <xdr:rowOff>113861</xdr:rowOff>
    </xdr:from>
    <xdr:to>
      <xdr:col>1</xdr:col>
      <xdr:colOff>35035</xdr:colOff>
      <xdr:row>3</xdr:row>
      <xdr:rowOff>30655</xdr:rowOff>
    </xdr:to>
    <xdr:pic>
      <xdr:nvPicPr>
        <xdr:cNvPr id="23" name="Picture 22">
          <a:extLst>
            <a:ext uri="{FF2B5EF4-FFF2-40B4-BE49-F238E27FC236}">
              <a16:creationId xmlns:a16="http://schemas.microsoft.com/office/drawing/2014/main" id="{A20AC15D-4907-4072-8EE1-D74BA40A4F82}"/>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7246" t="8371" r="19838" b="10200"/>
        <a:stretch>
          <a:fillRect/>
        </a:stretch>
      </xdr:blipFill>
      <xdr:spPr>
        <a:xfrm>
          <a:off x="157655" y="113861"/>
          <a:ext cx="486104" cy="468587"/>
        </a:xfrm>
        <a:prstGeom prst="rect">
          <a:avLst/>
        </a:prstGeom>
      </xdr:spPr>
    </xdr:pic>
    <xdr:clientData/>
  </xdr:twoCellAnchor>
  <xdr:twoCellAnchor editAs="absolute">
    <xdr:from>
      <xdr:col>1</xdr:col>
      <xdr:colOff>521138</xdr:colOff>
      <xdr:row>4</xdr:row>
      <xdr:rowOff>13138</xdr:rowOff>
    </xdr:from>
    <xdr:to>
      <xdr:col>3</xdr:col>
      <xdr:colOff>280275</xdr:colOff>
      <xdr:row>5</xdr:row>
      <xdr:rowOff>8759</xdr:rowOff>
    </xdr:to>
    <xdr:sp macro="" textlink="'Pivot Report'!A5">
      <xdr:nvSpPr>
        <xdr:cNvPr id="104" name="TextBox 103">
          <a:extLst>
            <a:ext uri="{FF2B5EF4-FFF2-40B4-BE49-F238E27FC236}">
              <a16:creationId xmlns:a16="http://schemas.microsoft.com/office/drawing/2014/main" id="{CF8CA902-B86F-9D31-76B7-26D8F04EB253}"/>
            </a:ext>
          </a:extLst>
        </xdr:cNvPr>
        <xdr:cNvSpPr txBox="1"/>
      </xdr:nvSpPr>
      <xdr:spPr>
        <a:xfrm>
          <a:off x="1129862" y="748862"/>
          <a:ext cx="976585" cy="17955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b"/>
        <a:lstStyle/>
        <a:p>
          <a:pPr algn="ctr"/>
          <a:fld id="{66900570-DF83-403E-AF9A-4E0E5D902E84}" type="TxLink">
            <a:rPr lang="en-US" sz="1100" b="0" i="0" u="none" strike="noStrike">
              <a:solidFill>
                <a:srgbClr val="000000"/>
              </a:solidFill>
              <a:latin typeface="Calibri"/>
              <a:ea typeface="Calibri"/>
              <a:cs typeface="Calibri"/>
            </a:rPr>
            <a:pPr algn="ctr"/>
            <a:t>485</a:t>
          </a:fld>
          <a:endParaRPr lang="en-IN" sz="900"/>
        </a:p>
      </xdr:txBody>
    </xdr:sp>
    <xdr:clientData/>
  </xdr:twoCellAnchor>
  <xdr:twoCellAnchor editAs="absolute">
    <xdr:from>
      <xdr:col>1</xdr:col>
      <xdr:colOff>521139</xdr:colOff>
      <xdr:row>4</xdr:row>
      <xdr:rowOff>179551</xdr:rowOff>
    </xdr:from>
    <xdr:to>
      <xdr:col>3</xdr:col>
      <xdr:colOff>284656</xdr:colOff>
      <xdr:row>5</xdr:row>
      <xdr:rowOff>140137</xdr:rowOff>
    </xdr:to>
    <xdr:sp macro="" textlink="">
      <xdr:nvSpPr>
        <xdr:cNvPr id="111" name="TextBox 110">
          <a:extLst>
            <a:ext uri="{FF2B5EF4-FFF2-40B4-BE49-F238E27FC236}">
              <a16:creationId xmlns:a16="http://schemas.microsoft.com/office/drawing/2014/main" id="{A4C98C78-AC9E-41FF-C89E-B6E96A27C1DC}"/>
            </a:ext>
          </a:extLst>
        </xdr:cNvPr>
        <xdr:cNvSpPr txBox="1"/>
      </xdr:nvSpPr>
      <xdr:spPr>
        <a:xfrm>
          <a:off x="1129863" y="915275"/>
          <a:ext cx="980965" cy="14451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b"/>
        <a:lstStyle/>
        <a:p>
          <a:pPr algn="ctr"/>
          <a:r>
            <a:rPr lang="en-IN" sz="700"/>
            <a:t>No.of</a:t>
          </a:r>
          <a:r>
            <a:rPr lang="en-IN" sz="700" baseline="0"/>
            <a:t> Patient</a:t>
          </a:r>
          <a:endParaRPr lang="en-IN" sz="700"/>
        </a:p>
      </xdr:txBody>
    </xdr:sp>
    <xdr:clientData/>
  </xdr:twoCellAnchor>
  <xdr:twoCellAnchor editAs="absolute">
    <xdr:from>
      <xdr:col>3</xdr:col>
      <xdr:colOff>359103</xdr:colOff>
      <xdr:row>4</xdr:row>
      <xdr:rowOff>17517</xdr:rowOff>
    </xdr:from>
    <xdr:to>
      <xdr:col>5</xdr:col>
      <xdr:colOff>126999</xdr:colOff>
      <xdr:row>5</xdr:row>
      <xdr:rowOff>0</xdr:rowOff>
    </xdr:to>
    <xdr:sp macro="" textlink="'Pivot Report'!A9">
      <xdr:nvSpPr>
        <xdr:cNvPr id="118" name="TextBox 117">
          <a:extLst>
            <a:ext uri="{FF2B5EF4-FFF2-40B4-BE49-F238E27FC236}">
              <a16:creationId xmlns:a16="http://schemas.microsoft.com/office/drawing/2014/main" id="{FD3FC055-72B8-1106-9874-3F020253BA97}"/>
            </a:ext>
          </a:extLst>
        </xdr:cNvPr>
        <xdr:cNvSpPr txBox="1"/>
      </xdr:nvSpPr>
      <xdr:spPr>
        <a:xfrm>
          <a:off x="2185275" y="753241"/>
          <a:ext cx="985345" cy="16641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b"/>
        <a:lstStyle/>
        <a:p>
          <a:pPr algn="ctr"/>
          <a:fld id="{36AB0433-93C8-4EAE-AA31-FBE7F7B8F5F1}" type="TxLink">
            <a:rPr lang="en-US" sz="1100" b="0" i="0" u="none" strike="noStrike">
              <a:solidFill>
                <a:srgbClr val="000000"/>
              </a:solidFill>
              <a:latin typeface="Calibri"/>
              <a:ea typeface="Calibri"/>
              <a:cs typeface="Calibri"/>
            </a:rPr>
            <a:pPr algn="ctr"/>
            <a:t>35.51</a:t>
          </a:fld>
          <a:endParaRPr lang="en-IN" sz="900"/>
        </a:p>
      </xdr:txBody>
    </xdr:sp>
    <xdr:clientData/>
  </xdr:twoCellAnchor>
  <xdr:twoCellAnchor editAs="absolute">
    <xdr:from>
      <xdr:col>3</xdr:col>
      <xdr:colOff>354725</xdr:colOff>
      <xdr:row>4</xdr:row>
      <xdr:rowOff>179551</xdr:rowOff>
    </xdr:from>
    <xdr:to>
      <xdr:col>5</xdr:col>
      <xdr:colOff>122620</xdr:colOff>
      <xdr:row>5</xdr:row>
      <xdr:rowOff>131379</xdr:rowOff>
    </xdr:to>
    <xdr:sp macro="" textlink="">
      <xdr:nvSpPr>
        <xdr:cNvPr id="119" name="TextBox 118">
          <a:extLst>
            <a:ext uri="{FF2B5EF4-FFF2-40B4-BE49-F238E27FC236}">
              <a16:creationId xmlns:a16="http://schemas.microsoft.com/office/drawing/2014/main" id="{93DECF11-DF58-F639-15EA-6FD70C926504}"/>
            </a:ext>
          </a:extLst>
        </xdr:cNvPr>
        <xdr:cNvSpPr txBox="1"/>
      </xdr:nvSpPr>
      <xdr:spPr>
        <a:xfrm>
          <a:off x="2180897" y="915275"/>
          <a:ext cx="985344" cy="13575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b"/>
        <a:lstStyle/>
        <a:p>
          <a:pPr algn="ctr"/>
          <a:r>
            <a:rPr lang="en-IN" sz="700"/>
            <a:t>Average</a:t>
          </a:r>
          <a:r>
            <a:rPr lang="en-IN" sz="700" baseline="0"/>
            <a:t> Wait Time</a:t>
          </a:r>
          <a:endParaRPr lang="en-IN" sz="700"/>
        </a:p>
      </xdr:txBody>
    </xdr:sp>
    <xdr:clientData/>
  </xdr:twoCellAnchor>
  <xdr:twoCellAnchor editAs="absolute">
    <xdr:from>
      <xdr:col>5</xdr:col>
      <xdr:colOff>183929</xdr:colOff>
      <xdr:row>4</xdr:row>
      <xdr:rowOff>26276</xdr:rowOff>
    </xdr:from>
    <xdr:to>
      <xdr:col>6</xdr:col>
      <xdr:colOff>560550</xdr:colOff>
      <xdr:row>5</xdr:row>
      <xdr:rowOff>0</xdr:rowOff>
    </xdr:to>
    <xdr:sp macro="" textlink="'Pivot Report'!A12">
      <xdr:nvSpPr>
        <xdr:cNvPr id="120" name="TextBox 119">
          <a:extLst>
            <a:ext uri="{FF2B5EF4-FFF2-40B4-BE49-F238E27FC236}">
              <a16:creationId xmlns:a16="http://schemas.microsoft.com/office/drawing/2014/main" id="{AB9896C2-81BA-A0D8-5536-5FF979001236}"/>
            </a:ext>
          </a:extLst>
        </xdr:cNvPr>
        <xdr:cNvSpPr txBox="1"/>
      </xdr:nvSpPr>
      <xdr:spPr>
        <a:xfrm>
          <a:off x="3227550" y="762000"/>
          <a:ext cx="985345" cy="15765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b"/>
        <a:lstStyle/>
        <a:p>
          <a:pPr algn="ctr"/>
          <a:fld id="{17F85C86-0D84-49A6-ACFB-BB7E9B389F0D}" type="TxLink">
            <a:rPr lang="en-US" sz="1100" b="0" i="0" u="none" strike="noStrike">
              <a:solidFill>
                <a:srgbClr val="000000"/>
              </a:solidFill>
              <a:latin typeface="Calibri"/>
              <a:ea typeface="Calibri"/>
              <a:cs typeface="Calibri"/>
            </a:rPr>
            <a:pPr algn="ctr"/>
            <a:t>4.71</a:t>
          </a:fld>
          <a:endParaRPr lang="en-IN" sz="900"/>
        </a:p>
      </xdr:txBody>
    </xdr:sp>
    <xdr:clientData/>
  </xdr:twoCellAnchor>
  <xdr:twoCellAnchor editAs="absolute">
    <xdr:from>
      <xdr:col>5</xdr:col>
      <xdr:colOff>218965</xdr:colOff>
      <xdr:row>4</xdr:row>
      <xdr:rowOff>162034</xdr:rowOff>
    </xdr:from>
    <xdr:to>
      <xdr:col>6</xdr:col>
      <xdr:colOff>564930</xdr:colOff>
      <xdr:row>5</xdr:row>
      <xdr:rowOff>118241</xdr:rowOff>
    </xdr:to>
    <xdr:sp macro="" textlink="">
      <xdr:nvSpPr>
        <xdr:cNvPr id="121" name="TextBox 120">
          <a:extLst>
            <a:ext uri="{FF2B5EF4-FFF2-40B4-BE49-F238E27FC236}">
              <a16:creationId xmlns:a16="http://schemas.microsoft.com/office/drawing/2014/main" id="{7014252A-D632-5D05-D04E-78D1459B7916}"/>
            </a:ext>
          </a:extLst>
        </xdr:cNvPr>
        <xdr:cNvSpPr txBox="1"/>
      </xdr:nvSpPr>
      <xdr:spPr>
        <a:xfrm>
          <a:off x="3262586" y="897758"/>
          <a:ext cx="954689" cy="14013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b"/>
        <a:lstStyle/>
        <a:p>
          <a:pPr algn="ctr"/>
          <a:r>
            <a:rPr lang="en-IN" sz="700"/>
            <a:t>Patient Satisfaction</a:t>
          </a:r>
          <a:r>
            <a:rPr lang="en-IN" sz="700" baseline="0"/>
            <a:t> Score</a:t>
          </a:r>
          <a:endParaRPr lang="en-IN" sz="700"/>
        </a:p>
      </xdr:txBody>
    </xdr:sp>
    <xdr:clientData/>
  </xdr:twoCellAnchor>
  <xdr:twoCellAnchor editAs="oneCell">
    <xdr:from>
      <xdr:col>6</xdr:col>
      <xdr:colOff>271517</xdr:colOff>
      <xdr:row>3</xdr:row>
      <xdr:rowOff>156779</xdr:rowOff>
    </xdr:from>
    <xdr:to>
      <xdr:col>6</xdr:col>
      <xdr:colOff>556173</xdr:colOff>
      <xdr:row>4</xdr:row>
      <xdr:rowOff>179552</xdr:rowOff>
    </xdr:to>
    <xdr:pic>
      <xdr:nvPicPr>
        <xdr:cNvPr id="123" name="Graphic 122" descr="Customer review with solid fill">
          <a:extLst>
            <a:ext uri="{FF2B5EF4-FFF2-40B4-BE49-F238E27FC236}">
              <a16:creationId xmlns:a16="http://schemas.microsoft.com/office/drawing/2014/main" id="{DA00C9A5-CF0E-FD6D-8944-8679E7D72872}"/>
            </a:ext>
          </a:extLst>
        </xdr:cNvPr>
        <xdr:cNvPicPr>
          <a:picLocks noChangeAspect="1"/>
        </xdr:cNvPicPr>
      </xdr:nvPicPr>
      <xdr:blipFill>
        <a:blip xmlns:r="http://schemas.openxmlformats.org/officeDocument/2006/relationships" r:embed="rId2">
          <a:extLst>
            <a:ext uri="{96DAC541-7B7A-43D3-8B79-37D633B846F1}">
              <asvg:svgBlip xmlns:asvg="http://schemas.microsoft.com/office/drawing/2016/SVG/main" r:embed="rId3"/>
            </a:ext>
          </a:extLst>
        </a:blip>
        <a:stretch>
          <a:fillRect/>
        </a:stretch>
      </xdr:blipFill>
      <xdr:spPr>
        <a:xfrm>
          <a:off x="3923862" y="708572"/>
          <a:ext cx="284656" cy="206704"/>
        </a:xfrm>
        <a:prstGeom prst="rect">
          <a:avLst/>
        </a:prstGeom>
      </xdr:spPr>
    </xdr:pic>
    <xdr:clientData/>
  </xdr:twoCellAnchor>
  <xdr:twoCellAnchor editAs="oneCell">
    <xdr:from>
      <xdr:col>4</xdr:col>
      <xdr:colOff>495966</xdr:colOff>
      <xdr:row>3</xdr:row>
      <xdr:rowOff>179551</xdr:rowOff>
    </xdr:from>
    <xdr:to>
      <xdr:col>5</xdr:col>
      <xdr:colOff>115192</xdr:colOff>
      <xdr:row>5</xdr:row>
      <xdr:rowOff>4379</xdr:rowOff>
    </xdr:to>
    <xdr:pic>
      <xdr:nvPicPr>
        <xdr:cNvPr id="125" name="Graphic 124" descr="Hourglass Finished with solid fill">
          <a:extLst>
            <a:ext uri="{FF2B5EF4-FFF2-40B4-BE49-F238E27FC236}">
              <a16:creationId xmlns:a16="http://schemas.microsoft.com/office/drawing/2014/main" id="{9EAE55C0-D4A3-DCD7-DE2C-0553069ACA81}"/>
            </a:ext>
          </a:extLst>
        </xdr:cNvPr>
        <xdr:cNvPicPr>
          <a:picLocks noChangeAspect="1"/>
        </xdr:cNvPicPr>
      </xdr:nvPicPr>
      <xdr:blipFill>
        <a:blip xmlns:r="http://schemas.openxmlformats.org/officeDocument/2006/relationships" r:embed="rId4">
          <a:extLst>
            <a:ext uri="{96DAC541-7B7A-43D3-8B79-37D633B846F1}">
              <asvg:svgBlip xmlns:asvg="http://schemas.microsoft.com/office/drawing/2016/SVG/main" r:embed="rId5"/>
            </a:ext>
          </a:extLst>
        </a:blip>
        <a:stretch>
          <a:fillRect/>
        </a:stretch>
      </xdr:blipFill>
      <xdr:spPr>
        <a:xfrm>
          <a:off x="2930863" y="731344"/>
          <a:ext cx="227950" cy="192690"/>
        </a:xfrm>
        <a:prstGeom prst="rect">
          <a:avLst/>
        </a:prstGeom>
      </xdr:spPr>
    </xdr:pic>
    <xdr:clientData/>
  </xdr:twoCellAnchor>
  <xdr:twoCellAnchor editAs="oneCell">
    <xdr:from>
      <xdr:col>2</xdr:col>
      <xdr:colOff>593414</xdr:colOff>
      <xdr:row>3</xdr:row>
      <xdr:rowOff>134917</xdr:rowOff>
    </xdr:from>
    <xdr:to>
      <xdr:col>3</xdr:col>
      <xdr:colOff>284656</xdr:colOff>
      <xdr:row>5</xdr:row>
      <xdr:rowOff>39414</xdr:rowOff>
    </xdr:to>
    <xdr:pic>
      <xdr:nvPicPr>
        <xdr:cNvPr id="127" name="Graphic 126" descr="User with solid fill">
          <a:extLst>
            <a:ext uri="{FF2B5EF4-FFF2-40B4-BE49-F238E27FC236}">
              <a16:creationId xmlns:a16="http://schemas.microsoft.com/office/drawing/2014/main" id="{A283974F-E570-B971-C3FC-802C7D896AF5}"/>
            </a:ext>
          </a:extLst>
        </xdr:cNvPr>
        <xdr:cNvPicPr>
          <a:picLocks noChangeAspect="1"/>
        </xdr:cNvPicPr>
      </xdr:nvPicPr>
      <xdr:blipFill>
        <a:blip xmlns:r="http://schemas.openxmlformats.org/officeDocument/2006/relationships" r:embed="rId6">
          <a:extLst>
            <a:ext uri="{96DAC541-7B7A-43D3-8B79-37D633B846F1}">
              <asvg:svgBlip xmlns:asvg="http://schemas.microsoft.com/office/drawing/2016/SVG/main" r:embed="rId7"/>
            </a:ext>
          </a:extLst>
        </a:blip>
        <a:stretch>
          <a:fillRect/>
        </a:stretch>
      </xdr:blipFill>
      <xdr:spPr>
        <a:xfrm>
          <a:off x="1810862" y="686710"/>
          <a:ext cx="299966" cy="272359"/>
        </a:xfrm>
        <a:prstGeom prst="rect">
          <a:avLst/>
        </a:prstGeom>
      </xdr:spPr>
    </xdr:pic>
    <xdr:clientData/>
  </xdr:twoCellAnchor>
  <xdr:twoCellAnchor editAs="oneCell">
    <xdr:from>
      <xdr:col>0</xdr:col>
      <xdr:colOff>122623</xdr:colOff>
      <xdr:row>3</xdr:row>
      <xdr:rowOff>170792</xdr:rowOff>
    </xdr:from>
    <xdr:to>
      <xdr:col>1</xdr:col>
      <xdr:colOff>367862</xdr:colOff>
      <xdr:row>16</xdr:row>
      <xdr:rowOff>26275</xdr:rowOff>
    </xdr:to>
    <mc:AlternateContent xmlns:mc="http://schemas.openxmlformats.org/markup-compatibility/2006" xmlns:a14="http://schemas.microsoft.com/office/drawing/2010/main">
      <mc:Choice Requires="a14">
        <xdr:graphicFrame macro="">
          <xdr:nvGraphicFramePr>
            <xdr:cNvPr id="133" name="Date (Month)">
              <a:extLst>
                <a:ext uri="{FF2B5EF4-FFF2-40B4-BE49-F238E27FC236}">
                  <a16:creationId xmlns:a16="http://schemas.microsoft.com/office/drawing/2014/main" id="{BF75B37B-64ED-40E9-B28C-1D869958ECE9}"/>
                </a:ext>
              </a:extLst>
            </xdr:cNvPr>
            <xdr:cNvGraphicFramePr/>
          </xdr:nvGraphicFramePr>
          <xdr:xfrm>
            <a:off x="0" y="0"/>
            <a:ext cx="0" cy="0"/>
          </xdr:xfrm>
          <a:graphic>
            <a:graphicData uri="http://schemas.microsoft.com/office/drawing/2010/slicer">
              <sle:slicer xmlns:sle="http://schemas.microsoft.com/office/drawing/2010/slicer" name="Date (Month)"/>
            </a:graphicData>
          </a:graphic>
        </xdr:graphicFrame>
      </mc:Choice>
      <mc:Fallback xmlns="">
        <xdr:sp macro="" textlink="">
          <xdr:nvSpPr>
            <xdr:cNvPr id="0" name=""/>
            <xdr:cNvSpPr>
              <a:spLocks noTextEdit="1"/>
            </xdr:cNvSpPr>
          </xdr:nvSpPr>
          <xdr:spPr>
            <a:xfrm>
              <a:off x="122623" y="722585"/>
              <a:ext cx="853963" cy="2246587"/>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xdr:col>
      <xdr:colOff>512379</xdr:colOff>
      <xdr:row>5</xdr:row>
      <xdr:rowOff>144517</xdr:rowOff>
    </xdr:from>
    <xdr:to>
      <xdr:col>3</xdr:col>
      <xdr:colOff>297794</xdr:colOff>
      <xdr:row>7</xdr:row>
      <xdr:rowOff>140138</xdr:rowOff>
    </xdr:to>
    <xdr:graphicFrame macro="">
      <xdr:nvGraphicFramePr>
        <xdr:cNvPr id="134" name="Chart 133">
          <a:hlinkClick xmlns:r="http://schemas.openxmlformats.org/officeDocument/2006/relationships" r:id="rId8"/>
          <a:extLst>
            <a:ext uri="{FF2B5EF4-FFF2-40B4-BE49-F238E27FC236}">
              <a16:creationId xmlns:a16="http://schemas.microsoft.com/office/drawing/2014/main" id="{07FE50AD-678D-47EA-8DD3-CB2332ED634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3</xdr:col>
      <xdr:colOff>350345</xdr:colOff>
      <xdr:row>5</xdr:row>
      <xdr:rowOff>61312</xdr:rowOff>
    </xdr:from>
    <xdr:to>
      <xdr:col>5</xdr:col>
      <xdr:colOff>127000</xdr:colOff>
      <xdr:row>7</xdr:row>
      <xdr:rowOff>127000</xdr:rowOff>
    </xdr:to>
    <xdr:graphicFrame macro="">
      <xdr:nvGraphicFramePr>
        <xdr:cNvPr id="136" name="Chart 135">
          <a:hlinkClick xmlns:r="http://schemas.openxmlformats.org/officeDocument/2006/relationships" r:id="rId10"/>
          <a:extLst>
            <a:ext uri="{FF2B5EF4-FFF2-40B4-BE49-F238E27FC236}">
              <a16:creationId xmlns:a16="http://schemas.microsoft.com/office/drawing/2014/main" id="{DCE969ED-FA65-46FE-828F-F36A21DEDBA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1</xdr:col>
      <xdr:colOff>367862</xdr:colOff>
      <xdr:row>2</xdr:row>
      <xdr:rowOff>13137</xdr:rowOff>
    </xdr:from>
    <xdr:to>
      <xdr:col>3</xdr:col>
      <xdr:colOff>582449</xdr:colOff>
      <xdr:row>2</xdr:row>
      <xdr:rowOff>170792</xdr:rowOff>
    </xdr:to>
    <xdr:sp macro="" textlink="">
      <xdr:nvSpPr>
        <xdr:cNvPr id="148" name="TextBox 147">
          <a:extLst>
            <a:ext uri="{FF2B5EF4-FFF2-40B4-BE49-F238E27FC236}">
              <a16:creationId xmlns:a16="http://schemas.microsoft.com/office/drawing/2014/main" id="{93B34361-F1FC-9FCC-4E2A-C2FDEE58CEEA}"/>
            </a:ext>
          </a:extLst>
        </xdr:cNvPr>
        <xdr:cNvSpPr txBox="1"/>
      </xdr:nvSpPr>
      <xdr:spPr>
        <a:xfrm>
          <a:off x="976586" y="380999"/>
          <a:ext cx="1432035" cy="15765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100"/>
            <a:t>MONTHLY REPORT</a:t>
          </a:r>
        </a:p>
      </xdr:txBody>
    </xdr:sp>
    <xdr:clientData/>
  </xdr:twoCellAnchor>
  <xdr:twoCellAnchor>
    <xdr:from>
      <xdr:col>5</xdr:col>
      <xdr:colOff>201448</xdr:colOff>
      <xdr:row>5</xdr:row>
      <xdr:rowOff>109482</xdr:rowOff>
    </xdr:from>
    <xdr:to>
      <xdr:col>6</xdr:col>
      <xdr:colOff>573689</xdr:colOff>
      <xdr:row>7</xdr:row>
      <xdr:rowOff>126999</xdr:rowOff>
    </xdr:to>
    <xdr:graphicFrame macro="">
      <xdr:nvGraphicFramePr>
        <xdr:cNvPr id="149" name="Chart 148">
          <a:hlinkClick xmlns:r="http://schemas.openxmlformats.org/officeDocument/2006/relationships" r:id="rId12"/>
          <a:extLst>
            <a:ext uri="{FF2B5EF4-FFF2-40B4-BE49-F238E27FC236}">
              <a16:creationId xmlns:a16="http://schemas.microsoft.com/office/drawing/2014/main" id="{07799813-9AFD-4F3E-9D85-BD4019DF4D2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mc:AlternateContent xmlns:mc="http://schemas.openxmlformats.org/markup-compatibility/2006">
    <mc:Choice xmlns:a14="http://schemas.microsoft.com/office/drawing/2010/main" Requires="a14">
      <xdr:twoCellAnchor editAs="oneCell">
        <xdr:from>
          <xdr:col>1</xdr:col>
          <xdr:colOff>516760</xdr:colOff>
          <xdr:row>8</xdr:row>
          <xdr:rowOff>4379</xdr:rowOff>
        </xdr:from>
        <xdr:to>
          <xdr:col>6</xdr:col>
          <xdr:colOff>582449</xdr:colOff>
          <xdr:row>10</xdr:row>
          <xdr:rowOff>157656</xdr:rowOff>
        </xdr:to>
        <xdr:pic>
          <xdr:nvPicPr>
            <xdr:cNvPr id="155" name="Picture 154">
              <a:extLst>
                <a:ext uri="{FF2B5EF4-FFF2-40B4-BE49-F238E27FC236}">
                  <a16:creationId xmlns:a16="http://schemas.microsoft.com/office/drawing/2014/main" id="{CA32E98C-BCB4-145E-6944-F6D8AD552AC0}"/>
                </a:ext>
              </a:extLst>
            </xdr:cNvPr>
            <xdr:cNvPicPr>
              <a:picLocks noChangeAspect="1" noChangeArrowheads="1"/>
              <a:extLst>
                <a:ext uri="{84589F7E-364E-4C9E-8A38-B11213B215E9}">
                  <a14:cameraTool cellRange="'Pivot Report'!$A$52:$D$54" spid="_x0000_s2067"/>
                </a:ext>
              </a:extLst>
            </xdr:cNvPicPr>
          </xdr:nvPicPr>
          <xdr:blipFill>
            <a:blip xmlns:r="http://schemas.openxmlformats.org/officeDocument/2006/relationships" r:embed="rId14"/>
            <a:srcRect/>
            <a:stretch>
              <a:fillRect/>
            </a:stretch>
          </xdr:blipFill>
          <xdr:spPr bwMode="auto">
            <a:xfrm>
              <a:off x="1125484" y="1475827"/>
              <a:ext cx="3109310" cy="521139"/>
            </a:xfrm>
            <a:prstGeom prst="roundRect">
              <a:avLst>
                <a:gd name="adj" fmla="val 16667"/>
              </a:avLst>
            </a:prstGeom>
            <a:ln>
              <a:noFill/>
            </a:ln>
            <a:effectLst>
              <a:outerShdw blurRad="76200" dist="38100" dir="7800000" algn="tl" rotWithShape="0">
                <a:srgbClr val="000000">
                  <a:alpha val="40000"/>
                </a:srgbClr>
              </a:outerShdw>
            </a:effectLst>
            <a:scene3d>
              <a:camera prst="orthographicFront"/>
              <a:lightRig rig="contrasting" dir="t">
                <a:rot lat="0" lon="0" rev="4200000"/>
              </a:lightRig>
            </a:scene3d>
            <a:sp3d prstMaterial="plastic">
              <a:contourClr>
                <a:srgbClr val="969696"/>
              </a:contourClr>
            </a:sp3d>
            <a:extLst>
              <a:ext uri="{909E8E84-426E-40DD-AFC4-6F175D3DCCD1}">
                <a14:hiddenFill>
                  <a:solidFill>
                    <a:srgbClr val="FFFFFF"/>
                  </a:solidFill>
                </a14:hiddenFill>
              </a:ext>
            </a:extLst>
          </xdr:spPr>
        </xdr:pic>
        <xdr:clientData/>
      </xdr:twoCellAnchor>
    </mc:Choice>
    <mc:Fallback/>
  </mc:AlternateContent>
  <xdr:twoCellAnchor>
    <xdr:from>
      <xdr:col>1</xdr:col>
      <xdr:colOff>564931</xdr:colOff>
      <xdr:row>11</xdr:row>
      <xdr:rowOff>70069</xdr:rowOff>
    </xdr:from>
    <xdr:to>
      <xdr:col>6</xdr:col>
      <xdr:colOff>494861</xdr:colOff>
      <xdr:row>16</xdr:row>
      <xdr:rowOff>78827</xdr:rowOff>
    </xdr:to>
    <xdr:graphicFrame macro="">
      <xdr:nvGraphicFramePr>
        <xdr:cNvPr id="156" name="Chart 155">
          <a:extLst>
            <a:ext uri="{FF2B5EF4-FFF2-40B4-BE49-F238E27FC236}">
              <a16:creationId xmlns:a16="http://schemas.microsoft.com/office/drawing/2014/main" id="{14531D4B-CBB4-4DB2-90B2-396444721F8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xdr:from>
      <xdr:col>7</xdr:col>
      <xdr:colOff>157656</xdr:colOff>
      <xdr:row>0</xdr:row>
      <xdr:rowOff>87586</xdr:rowOff>
    </xdr:from>
    <xdr:to>
      <xdr:col>9</xdr:col>
      <xdr:colOff>21897</xdr:colOff>
      <xdr:row>6</xdr:row>
      <xdr:rowOff>113862</xdr:rowOff>
    </xdr:to>
    <xdr:graphicFrame macro="">
      <xdr:nvGraphicFramePr>
        <xdr:cNvPr id="158" name="Chart 157">
          <a:extLst>
            <a:ext uri="{FF2B5EF4-FFF2-40B4-BE49-F238E27FC236}">
              <a16:creationId xmlns:a16="http://schemas.microsoft.com/office/drawing/2014/main" id="{5CEC7893-6AE4-4134-859A-26761A03290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xdr:from>
      <xdr:col>7</xdr:col>
      <xdr:colOff>197070</xdr:colOff>
      <xdr:row>6</xdr:row>
      <xdr:rowOff>83206</xdr:rowOff>
    </xdr:from>
    <xdr:to>
      <xdr:col>9</xdr:col>
      <xdr:colOff>43793</xdr:colOff>
      <xdr:row>7</xdr:row>
      <xdr:rowOff>48172</xdr:rowOff>
    </xdr:to>
    <xdr:sp macro="" textlink="">
      <xdr:nvSpPr>
        <xdr:cNvPr id="159" name="TextBox 158">
          <a:extLst>
            <a:ext uri="{FF2B5EF4-FFF2-40B4-BE49-F238E27FC236}">
              <a16:creationId xmlns:a16="http://schemas.microsoft.com/office/drawing/2014/main" id="{3155994D-BB2D-B98B-EA0F-0B594484A925}"/>
            </a:ext>
          </a:extLst>
        </xdr:cNvPr>
        <xdr:cNvSpPr txBox="1"/>
      </xdr:nvSpPr>
      <xdr:spPr>
        <a:xfrm>
          <a:off x="4458139" y="1186792"/>
          <a:ext cx="1064171" cy="14889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700"/>
            <a:t>Patient Attend Status</a:t>
          </a:r>
        </a:p>
      </xdr:txBody>
    </xdr:sp>
    <xdr:clientData/>
  </xdr:twoCellAnchor>
  <xdr:twoCellAnchor>
    <xdr:from>
      <xdr:col>9</xdr:col>
      <xdr:colOff>218965</xdr:colOff>
      <xdr:row>0</xdr:row>
      <xdr:rowOff>48172</xdr:rowOff>
    </xdr:from>
    <xdr:to>
      <xdr:col>11</xdr:col>
      <xdr:colOff>249620</xdr:colOff>
      <xdr:row>7</xdr:row>
      <xdr:rowOff>113862</xdr:rowOff>
    </xdr:to>
    <xdr:graphicFrame macro="">
      <xdr:nvGraphicFramePr>
        <xdr:cNvPr id="160" name="Chart 159">
          <a:extLst>
            <a:ext uri="{FF2B5EF4-FFF2-40B4-BE49-F238E27FC236}">
              <a16:creationId xmlns:a16="http://schemas.microsoft.com/office/drawing/2014/main" id="{D8AB518E-8F6D-47FC-9749-A77F58CDD45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xdr:from>
      <xdr:col>9</xdr:col>
      <xdr:colOff>332828</xdr:colOff>
      <xdr:row>6</xdr:row>
      <xdr:rowOff>91966</xdr:rowOff>
    </xdr:from>
    <xdr:to>
      <xdr:col>11</xdr:col>
      <xdr:colOff>144517</xdr:colOff>
      <xdr:row>7</xdr:row>
      <xdr:rowOff>83207</xdr:rowOff>
    </xdr:to>
    <xdr:sp macro="" textlink="">
      <xdr:nvSpPr>
        <xdr:cNvPr id="161" name="TextBox 160">
          <a:extLst>
            <a:ext uri="{FF2B5EF4-FFF2-40B4-BE49-F238E27FC236}">
              <a16:creationId xmlns:a16="http://schemas.microsoft.com/office/drawing/2014/main" id="{C363B02F-2F96-9C10-34F3-59AA7AA6BE6C}"/>
            </a:ext>
          </a:extLst>
        </xdr:cNvPr>
        <xdr:cNvSpPr txBox="1"/>
      </xdr:nvSpPr>
      <xdr:spPr>
        <a:xfrm>
          <a:off x="5811345" y="1195552"/>
          <a:ext cx="1029138" cy="17517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700"/>
            <a:t>Gender wise Analysis</a:t>
          </a:r>
        </a:p>
      </xdr:txBody>
    </xdr:sp>
    <xdr:clientData/>
  </xdr:twoCellAnchor>
  <xdr:twoCellAnchor>
    <xdr:from>
      <xdr:col>7</xdr:col>
      <xdr:colOff>131379</xdr:colOff>
      <xdr:row>8</xdr:row>
      <xdr:rowOff>39414</xdr:rowOff>
    </xdr:from>
    <xdr:to>
      <xdr:col>11</xdr:col>
      <xdr:colOff>245241</xdr:colOff>
      <xdr:row>16</xdr:row>
      <xdr:rowOff>56931</xdr:rowOff>
    </xdr:to>
    <xdr:graphicFrame macro="">
      <xdr:nvGraphicFramePr>
        <xdr:cNvPr id="162" name="Chart 161">
          <a:extLst>
            <a:ext uri="{FF2B5EF4-FFF2-40B4-BE49-F238E27FC236}">
              <a16:creationId xmlns:a16="http://schemas.microsoft.com/office/drawing/2014/main" id="{884F854B-FB2D-4C38-B02A-082D9F21211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8"/>
        </a:graphicData>
      </a:graphic>
    </xdr:graphicFrame>
    <xdr:clientData/>
  </xdr:twoCellAnchor>
  <xdr:twoCellAnchor>
    <xdr:from>
      <xdr:col>7</xdr:col>
      <xdr:colOff>591208</xdr:colOff>
      <xdr:row>14</xdr:row>
      <xdr:rowOff>179553</xdr:rowOff>
    </xdr:from>
    <xdr:to>
      <xdr:col>10</xdr:col>
      <xdr:colOff>564932</xdr:colOff>
      <xdr:row>15</xdr:row>
      <xdr:rowOff>157655</xdr:rowOff>
    </xdr:to>
    <xdr:sp macro="" textlink="">
      <xdr:nvSpPr>
        <xdr:cNvPr id="163" name="TextBox 162">
          <a:extLst>
            <a:ext uri="{FF2B5EF4-FFF2-40B4-BE49-F238E27FC236}">
              <a16:creationId xmlns:a16="http://schemas.microsoft.com/office/drawing/2014/main" id="{A98E2372-820E-849B-F392-BB64D5341D5F}"/>
            </a:ext>
          </a:extLst>
        </xdr:cNvPr>
        <xdr:cNvSpPr txBox="1"/>
      </xdr:nvSpPr>
      <xdr:spPr>
        <a:xfrm>
          <a:off x="4852277" y="2754587"/>
          <a:ext cx="1799896" cy="16203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800"/>
            <a:t>No.of</a:t>
          </a:r>
          <a:r>
            <a:rPr lang="en-IN" sz="800" baseline="0"/>
            <a:t> patient by department referall</a:t>
          </a:r>
          <a:endParaRPr lang="en-IN" sz="800"/>
        </a:p>
      </xdr:txBody>
    </xdr:sp>
    <xdr:clientData/>
  </xdr:twoCellAnchor>
  <xdr:twoCellAnchor editAs="oneCell">
    <xdr:from>
      <xdr:col>5</xdr:col>
      <xdr:colOff>223346</xdr:colOff>
      <xdr:row>0</xdr:row>
      <xdr:rowOff>183930</xdr:rowOff>
    </xdr:from>
    <xdr:to>
      <xdr:col>6</xdr:col>
      <xdr:colOff>578069</xdr:colOff>
      <xdr:row>3</xdr:row>
      <xdr:rowOff>8758</xdr:rowOff>
    </xdr:to>
    <mc:AlternateContent xmlns:mc="http://schemas.openxmlformats.org/markup-compatibility/2006" xmlns:a14="http://schemas.microsoft.com/office/drawing/2010/main">
      <mc:Choice Requires="a14">
        <xdr:graphicFrame macro="">
          <xdr:nvGraphicFramePr>
            <xdr:cNvPr id="164" name="Date (Year)">
              <a:extLst>
                <a:ext uri="{FF2B5EF4-FFF2-40B4-BE49-F238E27FC236}">
                  <a16:creationId xmlns:a16="http://schemas.microsoft.com/office/drawing/2014/main" id="{FC360614-5F90-40B7-B969-11D665B9E136}"/>
                </a:ext>
              </a:extLst>
            </xdr:cNvPr>
            <xdr:cNvGraphicFramePr/>
          </xdr:nvGraphicFramePr>
          <xdr:xfrm>
            <a:off x="0" y="0"/>
            <a:ext cx="0" cy="0"/>
          </xdr:xfrm>
          <a:graphic>
            <a:graphicData uri="http://schemas.microsoft.com/office/drawing/2010/slicer">
              <sle:slicer xmlns:sle="http://schemas.microsoft.com/office/drawing/2010/slicer" name="Date (Year)"/>
            </a:graphicData>
          </a:graphic>
        </xdr:graphicFrame>
      </mc:Choice>
      <mc:Fallback xmlns="">
        <xdr:sp macro="" textlink="">
          <xdr:nvSpPr>
            <xdr:cNvPr id="0" name=""/>
            <xdr:cNvSpPr>
              <a:spLocks noTextEdit="1"/>
            </xdr:cNvSpPr>
          </xdr:nvSpPr>
          <xdr:spPr>
            <a:xfrm>
              <a:off x="3266967" y="183930"/>
              <a:ext cx="963447" cy="376621"/>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3.xml><?xml version="1.0" encoding="utf-8"?>
<c:userShapes xmlns:c="http://schemas.openxmlformats.org/drawingml/2006/chart">
  <cdr:relSizeAnchor xmlns:cdr="http://schemas.openxmlformats.org/drawingml/2006/chartDrawing">
    <cdr:from>
      <cdr:x>0.15906</cdr:x>
      <cdr:y>0.81604</cdr:y>
    </cdr:from>
    <cdr:to>
      <cdr:x>0.77025</cdr:x>
      <cdr:y>0.99057</cdr:y>
    </cdr:to>
    <cdr:sp macro="" textlink="">
      <cdr:nvSpPr>
        <cdr:cNvPr id="2" name="TextBox 1">
          <a:extLst xmlns:a="http://schemas.openxmlformats.org/drawingml/2006/main">
            <a:ext uri="{FF2B5EF4-FFF2-40B4-BE49-F238E27FC236}">
              <a16:creationId xmlns:a16="http://schemas.microsoft.com/office/drawing/2014/main" id="{95699E31-7D98-657F-EF0C-7F683C44B4FC}"/>
            </a:ext>
          </a:extLst>
        </cdr:cNvPr>
        <cdr:cNvSpPr txBox="1"/>
      </cdr:nvSpPr>
      <cdr:spPr>
        <a:xfrm xmlns:a="http://schemas.openxmlformats.org/drawingml/2006/main">
          <a:off x="472966" y="757621"/>
          <a:ext cx="1817413" cy="162036"/>
        </a:xfrm>
        <a:prstGeom xmlns:a="http://schemas.openxmlformats.org/drawingml/2006/main" prst="rect">
          <a:avLst/>
        </a:prstGeom>
      </cdr:spPr>
      <cdr:txBody>
        <a:bodyPr xmlns:a="http://schemas.openxmlformats.org/drawingml/2006/main" vertOverflow="clip" wrap="square" rtlCol="0" anchor="ctr"/>
        <a:lstStyle xmlns:a="http://schemas.openxmlformats.org/drawingml/2006/main"/>
        <a:p xmlns:a="http://schemas.openxmlformats.org/drawingml/2006/main">
          <a:pPr algn="ctr"/>
          <a:r>
            <a:rPr lang="en-IN" sz="700" kern="1200"/>
            <a:t>No.of</a:t>
          </a:r>
          <a:r>
            <a:rPr lang="en-IN" sz="700" kern="1200" baseline="0"/>
            <a:t> Patient by Age Group</a:t>
          </a:r>
          <a:endParaRPr lang="en-IN" sz="700" kern="1200"/>
        </a:p>
      </cdr:txBody>
    </cdr:sp>
  </cdr:relSizeAnchor>
</c:userShapes>
</file>

<file path=xl/drawings/drawing4.xml><?xml version="1.0" encoding="utf-8"?>
<xdr:wsDr xmlns:xdr="http://schemas.openxmlformats.org/drawingml/2006/spreadsheetDrawing" xmlns:a="http://schemas.openxmlformats.org/drawingml/2006/main">
  <xdr:twoCellAnchor>
    <xdr:from>
      <xdr:col>0</xdr:col>
      <xdr:colOff>0</xdr:colOff>
      <xdr:row>0</xdr:row>
      <xdr:rowOff>0</xdr:rowOff>
    </xdr:from>
    <xdr:to>
      <xdr:col>19</xdr:col>
      <xdr:colOff>0</xdr:colOff>
      <xdr:row>22</xdr:row>
      <xdr:rowOff>60960</xdr:rowOff>
    </xdr:to>
    <xdr:graphicFrame macro="">
      <xdr:nvGraphicFramePr>
        <xdr:cNvPr id="2" name="Chart 1">
          <a:extLst>
            <a:ext uri="{FF2B5EF4-FFF2-40B4-BE49-F238E27FC236}">
              <a16:creationId xmlns:a16="http://schemas.microsoft.com/office/drawing/2014/main" id="{43E0C429-DACF-43F6-9FF5-5349E3321BB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0</xdr:col>
      <xdr:colOff>152400</xdr:colOff>
      <xdr:row>0</xdr:row>
      <xdr:rowOff>91440</xdr:rowOff>
    </xdr:from>
    <xdr:to>
      <xdr:col>1</xdr:col>
      <xdr:colOff>137160</xdr:colOff>
      <xdr:row>3</xdr:row>
      <xdr:rowOff>137160</xdr:rowOff>
    </xdr:to>
    <xdr:pic>
      <xdr:nvPicPr>
        <xdr:cNvPr id="4" name="Graphic 3" descr="Home with solid fill">
          <a:hlinkClick xmlns:r="http://schemas.openxmlformats.org/officeDocument/2006/relationships" r:id="rId2"/>
          <a:extLst>
            <a:ext uri="{FF2B5EF4-FFF2-40B4-BE49-F238E27FC236}">
              <a16:creationId xmlns:a16="http://schemas.microsoft.com/office/drawing/2014/main" id="{C6EAB91F-CA8E-2C7D-641B-0E5358371F07}"/>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152400" y="91440"/>
          <a:ext cx="594360" cy="594360"/>
        </a:xfrm>
        <a:prstGeom prst="rect">
          <a:avLst/>
        </a:prstGeom>
      </xdr:spPr>
    </xdr:pic>
    <xdr:clientData/>
  </xdr:twoCellAnchor>
</xdr:wsDr>
</file>

<file path=xl/drawings/drawing5.xml><?xml version="1.0" encoding="utf-8"?>
<c:userShapes xmlns:c="http://schemas.openxmlformats.org/drawingml/2006/chart">
  <cdr:relSizeAnchor xmlns:cdr="http://schemas.openxmlformats.org/drawingml/2006/chartDrawing">
    <cdr:from>
      <cdr:x>0.26974</cdr:x>
      <cdr:y>0.7561</cdr:y>
    </cdr:from>
    <cdr:to>
      <cdr:x>0.34868</cdr:x>
      <cdr:y>1</cdr:y>
    </cdr:to>
    <cdr:sp macro="" textlink="">
      <cdr:nvSpPr>
        <cdr:cNvPr id="2" name="TextBox 1">
          <a:extLst xmlns:a="http://schemas.openxmlformats.org/drawingml/2006/main">
            <a:ext uri="{FF2B5EF4-FFF2-40B4-BE49-F238E27FC236}">
              <a16:creationId xmlns:a16="http://schemas.microsoft.com/office/drawing/2014/main" id="{5F7432B7-B34B-FD55-73B7-871FC5AA7DCD}"/>
            </a:ext>
          </a:extLst>
        </cdr:cNvPr>
        <cdr:cNvSpPr txBox="1"/>
      </cdr:nvSpPr>
      <cdr:spPr>
        <a:xfrm xmlns:a="http://schemas.openxmlformats.org/drawingml/2006/main">
          <a:off x="3124200" y="3756660"/>
          <a:ext cx="914400" cy="914400"/>
        </a:xfrm>
        <a:prstGeom xmlns:a="http://schemas.openxmlformats.org/drawingml/2006/main" prst="rect">
          <a:avLst/>
        </a:prstGeom>
      </cdr:spPr>
      <cdr:txBody>
        <a:bodyPr xmlns:a="http://schemas.openxmlformats.org/drawingml/2006/main" vertOverflow="clip" wrap="none" rtlCol="0"/>
        <a:lstStyle xmlns:a="http://schemas.openxmlformats.org/drawingml/2006/main"/>
        <a:p xmlns:a="http://schemas.openxmlformats.org/drawingml/2006/main">
          <a:endParaRPr lang="en-IN" sz="1100" kern="1200"/>
        </a:p>
      </cdr:txBody>
    </cdr:sp>
  </cdr:relSizeAnchor>
  <cdr:relSizeAnchor xmlns:cdr="http://schemas.openxmlformats.org/drawingml/2006/chartDrawing">
    <cdr:from>
      <cdr:x>0.26842</cdr:x>
      <cdr:y>0.92537</cdr:y>
    </cdr:from>
    <cdr:to>
      <cdr:x>0.775</cdr:x>
      <cdr:y>0.98881</cdr:y>
    </cdr:to>
    <cdr:sp macro="" textlink="">
      <cdr:nvSpPr>
        <cdr:cNvPr id="3" name="TextBox 2">
          <a:extLst xmlns:a="http://schemas.openxmlformats.org/drawingml/2006/main">
            <a:ext uri="{FF2B5EF4-FFF2-40B4-BE49-F238E27FC236}">
              <a16:creationId xmlns:a16="http://schemas.microsoft.com/office/drawing/2014/main" id="{8789DCF5-8E29-E893-2B1E-3763C41A41A7}"/>
            </a:ext>
          </a:extLst>
        </cdr:cNvPr>
        <cdr:cNvSpPr txBox="1"/>
      </cdr:nvSpPr>
      <cdr:spPr>
        <a:xfrm xmlns:a="http://schemas.openxmlformats.org/drawingml/2006/main">
          <a:off x="3108960" y="3779520"/>
          <a:ext cx="5867400" cy="259080"/>
        </a:xfrm>
        <a:prstGeom xmlns:a="http://schemas.openxmlformats.org/drawingml/2006/main" prst="rect">
          <a:avLst/>
        </a:prstGeom>
      </cdr:spPr>
      <cdr:txBody>
        <a:bodyPr xmlns:a="http://schemas.openxmlformats.org/drawingml/2006/main" vertOverflow="clip" wrap="square" rtlCol="0"/>
        <a:lstStyle xmlns:a="http://schemas.openxmlformats.org/drawingml/2006/main"/>
        <a:p xmlns:a="http://schemas.openxmlformats.org/drawingml/2006/main">
          <a:r>
            <a:rPr lang="en-IN" sz="1100" kern="1200">
              <a:solidFill>
                <a:schemeClr val="bg1"/>
              </a:solidFill>
            </a:rPr>
            <a:t>Show</a:t>
          </a:r>
          <a:r>
            <a:rPr lang="en-IN" sz="1100" kern="1200" baseline="0">
              <a:solidFill>
                <a:schemeClr val="bg1"/>
              </a:solidFill>
            </a:rPr>
            <a:t> a daily trend with an area sparkline to spot patterns like busy days or seasonal trends </a:t>
          </a:r>
          <a:endParaRPr lang="en-IN" sz="1100" kern="1200">
            <a:solidFill>
              <a:schemeClr val="bg1"/>
            </a:solidFill>
          </a:endParaRPr>
        </a:p>
      </cdr:txBody>
    </cdr:sp>
  </cdr:relSizeAnchor>
</c:userShapes>
</file>

<file path=xl/drawings/drawing6.xml><?xml version="1.0" encoding="utf-8"?>
<xdr:wsDr xmlns:xdr="http://schemas.openxmlformats.org/drawingml/2006/spreadsheetDrawing" xmlns:a="http://schemas.openxmlformats.org/drawingml/2006/main">
  <xdr:twoCellAnchor>
    <xdr:from>
      <xdr:col>0</xdr:col>
      <xdr:colOff>0</xdr:colOff>
      <xdr:row>0</xdr:row>
      <xdr:rowOff>0</xdr:rowOff>
    </xdr:from>
    <xdr:to>
      <xdr:col>19</xdr:col>
      <xdr:colOff>15240</xdr:colOff>
      <xdr:row>20</xdr:row>
      <xdr:rowOff>152400</xdr:rowOff>
    </xdr:to>
    <xdr:graphicFrame macro="">
      <xdr:nvGraphicFramePr>
        <xdr:cNvPr id="2" name="Chart 1">
          <a:extLst>
            <a:ext uri="{FF2B5EF4-FFF2-40B4-BE49-F238E27FC236}">
              <a16:creationId xmlns:a16="http://schemas.microsoft.com/office/drawing/2014/main" id="{FC4219B5-D198-476F-918C-A5F4641D1E0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7.xml><?xml version="1.0" encoding="utf-8"?>
<c:userShapes xmlns:c="http://schemas.openxmlformats.org/drawingml/2006/chart">
  <cdr:relSizeAnchor xmlns:cdr="http://schemas.openxmlformats.org/drawingml/2006/chartDrawing">
    <cdr:from>
      <cdr:x>0.12089</cdr:x>
      <cdr:y>0.89</cdr:y>
    </cdr:from>
    <cdr:to>
      <cdr:x>0.73193</cdr:x>
      <cdr:y>0.952</cdr:y>
    </cdr:to>
    <cdr:sp macro="" textlink="">
      <cdr:nvSpPr>
        <cdr:cNvPr id="2" name="TextBox 1">
          <a:extLst xmlns:a="http://schemas.openxmlformats.org/drawingml/2006/main">
            <a:ext uri="{FF2B5EF4-FFF2-40B4-BE49-F238E27FC236}">
              <a16:creationId xmlns:a16="http://schemas.microsoft.com/office/drawing/2014/main" id="{88883595-AAAA-3D70-78E2-2C4514FB8A85}"/>
            </a:ext>
          </a:extLst>
        </cdr:cNvPr>
        <cdr:cNvSpPr txBox="1"/>
      </cdr:nvSpPr>
      <cdr:spPr>
        <a:xfrm xmlns:a="http://schemas.openxmlformats.org/drawingml/2006/main">
          <a:off x="1402080" y="3390900"/>
          <a:ext cx="7086600" cy="236220"/>
        </a:xfrm>
        <a:prstGeom xmlns:a="http://schemas.openxmlformats.org/drawingml/2006/main" prst="rect">
          <a:avLst/>
        </a:prstGeom>
      </cdr:spPr>
      <cdr:txBody>
        <a:bodyPr xmlns:a="http://schemas.openxmlformats.org/drawingml/2006/main" vertOverflow="clip" wrap="square" rtlCol="0"/>
        <a:lstStyle xmlns:a="http://schemas.openxmlformats.org/drawingml/2006/main"/>
        <a:p xmlns:a="http://schemas.openxmlformats.org/drawingml/2006/main">
          <a:endParaRPr lang="en-IN" sz="1100" kern="1200"/>
        </a:p>
      </cdr:txBody>
    </cdr:sp>
  </cdr:relSizeAnchor>
  <cdr:relSizeAnchor xmlns:cdr="http://schemas.openxmlformats.org/drawingml/2006/chartDrawing">
    <cdr:from>
      <cdr:x>0.12352</cdr:x>
      <cdr:y>0.92</cdr:y>
    </cdr:from>
    <cdr:to>
      <cdr:x>0.6912</cdr:x>
      <cdr:y>0.974</cdr:y>
    </cdr:to>
    <cdr:sp macro="" textlink="">
      <cdr:nvSpPr>
        <cdr:cNvPr id="3" name="TextBox 2">
          <a:extLst xmlns:a="http://schemas.openxmlformats.org/drawingml/2006/main">
            <a:ext uri="{FF2B5EF4-FFF2-40B4-BE49-F238E27FC236}">
              <a16:creationId xmlns:a16="http://schemas.microsoft.com/office/drawing/2014/main" id="{C7BEDDBB-C43A-C3BD-4E30-D54A5971776B}"/>
            </a:ext>
          </a:extLst>
        </cdr:cNvPr>
        <cdr:cNvSpPr txBox="1"/>
      </cdr:nvSpPr>
      <cdr:spPr>
        <a:xfrm xmlns:a="http://schemas.openxmlformats.org/drawingml/2006/main">
          <a:off x="1432560" y="3505200"/>
          <a:ext cx="6583680" cy="205740"/>
        </a:xfrm>
        <a:prstGeom xmlns:a="http://schemas.openxmlformats.org/drawingml/2006/main" prst="rect">
          <a:avLst/>
        </a:prstGeom>
      </cdr:spPr>
      <cdr:txBody>
        <a:bodyPr xmlns:a="http://schemas.openxmlformats.org/drawingml/2006/main" vertOverflow="clip" wrap="square" rtlCol="0"/>
        <a:lstStyle xmlns:a="http://schemas.openxmlformats.org/drawingml/2006/main"/>
        <a:p xmlns:a="http://schemas.openxmlformats.org/drawingml/2006/main">
          <a:endParaRPr lang="en-IN" sz="1100" kern="1200"/>
        </a:p>
      </cdr:txBody>
    </cdr:sp>
  </cdr:relSizeAnchor>
  <cdr:relSizeAnchor xmlns:cdr="http://schemas.openxmlformats.org/drawingml/2006/chartDrawing">
    <cdr:from>
      <cdr:x>0.182</cdr:x>
      <cdr:y>0.906</cdr:y>
    </cdr:from>
    <cdr:to>
      <cdr:x>0.7753</cdr:x>
      <cdr:y>0.976</cdr:y>
    </cdr:to>
    <cdr:sp macro="" textlink="">
      <cdr:nvSpPr>
        <cdr:cNvPr id="4" name="TextBox 3">
          <a:extLst xmlns:a="http://schemas.openxmlformats.org/drawingml/2006/main">
            <a:ext uri="{FF2B5EF4-FFF2-40B4-BE49-F238E27FC236}">
              <a16:creationId xmlns:a16="http://schemas.microsoft.com/office/drawing/2014/main" id="{25649157-7715-D975-5C26-54F2604CB43D}"/>
            </a:ext>
          </a:extLst>
        </cdr:cNvPr>
        <cdr:cNvSpPr txBox="1"/>
      </cdr:nvSpPr>
      <cdr:spPr>
        <a:xfrm xmlns:a="http://schemas.openxmlformats.org/drawingml/2006/main">
          <a:off x="2110740" y="3451860"/>
          <a:ext cx="6880860" cy="266700"/>
        </a:xfrm>
        <a:prstGeom xmlns:a="http://schemas.openxmlformats.org/drawingml/2006/main" prst="rect">
          <a:avLst/>
        </a:prstGeom>
      </cdr:spPr>
      <cdr:txBody>
        <a:bodyPr xmlns:a="http://schemas.openxmlformats.org/drawingml/2006/main" vertOverflow="clip" wrap="square" rtlCol="0"/>
        <a:lstStyle xmlns:a="http://schemas.openxmlformats.org/drawingml/2006/main"/>
        <a:p xmlns:a="http://schemas.openxmlformats.org/drawingml/2006/main">
          <a:r>
            <a:rPr lang="en-IN" sz="1100" kern="1200">
              <a:solidFill>
                <a:schemeClr val="bg1"/>
              </a:solidFill>
            </a:rPr>
            <a:t>Use</a:t>
          </a:r>
          <a:r>
            <a:rPr lang="en-IN" sz="1100" kern="1200" baseline="0">
              <a:solidFill>
                <a:schemeClr val="bg1"/>
              </a:solidFill>
            </a:rPr>
            <a:t> an area sparline to track daily changes and highlight days with longer wait times that might need improvement</a:t>
          </a:r>
          <a:endParaRPr lang="en-IN" sz="1100" kern="1200">
            <a:solidFill>
              <a:schemeClr val="bg1"/>
            </a:solidFill>
          </a:endParaRPr>
        </a:p>
      </cdr:txBody>
    </cdr:sp>
  </cdr:relSizeAnchor>
  <cdr:relSizeAnchor xmlns:cdr="http://schemas.openxmlformats.org/drawingml/2006/chartDrawing">
    <cdr:from>
      <cdr:x>0.00591</cdr:x>
      <cdr:y>0.01</cdr:y>
    </cdr:from>
    <cdr:to>
      <cdr:x>0.05125</cdr:x>
      <cdr:y>0.148</cdr:y>
    </cdr:to>
    <cdr:pic>
      <cdr:nvPicPr>
        <cdr:cNvPr id="6" name="Graphic 5" descr="Home with solid fill">
          <a:hlinkClick xmlns:a="http://schemas.openxmlformats.org/drawingml/2006/main" xmlns:r="http://schemas.openxmlformats.org/officeDocument/2006/relationships" r:id="rId1"/>
          <a:extLst xmlns:a="http://schemas.openxmlformats.org/drawingml/2006/main">
            <a:ext uri="{FF2B5EF4-FFF2-40B4-BE49-F238E27FC236}">
              <a16:creationId xmlns:a16="http://schemas.microsoft.com/office/drawing/2014/main" id="{3497ABE5-88F8-03FB-9510-BC9AA6694216}"/>
            </a:ext>
          </a:extLst>
        </cdr:cNvPr>
        <cdr:cNvPicPr>
          <a:picLocks xmlns:a="http://schemas.openxmlformats.org/drawingml/2006/main" noChangeAspect="1"/>
        </cdr:cNvPicPr>
      </cdr:nvPicPr>
      <cdr:blipFill>
        <a:blip xmlns:a="http://schemas.openxmlformats.org/drawingml/2006/main" xmlns:r="http://schemas.openxmlformats.org/officeDocument/2006/relationships" r:embed="rId2">
          <a:extLst>
            <a:ext uri="{96DAC541-7B7A-43D3-8B79-37D633B846F1}">
              <asvg:svgBlip xmlns:asvg="http://schemas.microsoft.com/office/drawing/2016/SVG/main" r:embed="rId3"/>
            </a:ext>
          </a:extLst>
        </a:blip>
        <a:stretch xmlns:a="http://schemas.openxmlformats.org/drawingml/2006/main">
          <a:fillRect/>
        </a:stretch>
      </cdr:blipFill>
      <cdr:spPr>
        <a:xfrm xmlns:a="http://schemas.openxmlformats.org/drawingml/2006/main">
          <a:off x="68580" y="38100"/>
          <a:ext cx="525780" cy="525780"/>
        </a:xfrm>
        <a:prstGeom xmlns:a="http://schemas.openxmlformats.org/drawingml/2006/main" prst="rect">
          <a:avLst/>
        </a:prstGeom>
      </cdr:spPr>
    </cdr:pic>
  </cdr:relSizeAnchor>
</c:userShapes>
</file>

<file path=xl/drawings/drawing8.xml><?xml version="1.0" encoding="utf-8"?>
<xdr:wsDr xmlns:xdr="http://schemas.openxmlformats.org/drawingml/2006/spreadsheetDrawing" xmlns:a="http://schemas.openxmlformats.org/drawingml/2006/main">
  <xdr:twoCellAnchor>
    <xdr:from>
      <xdr:col>0</xdr:col>
      <xdr:colOff>7620</xdr:colOff>
      <xdr:row>0</xdr:row>
      <xdr:rowOff>0</xdr:rowOff>
    </xdr:from>
    <xdr:to>
      <xdr:col>18</xdr:col>
      <xdr:colOff>601980</xdr:colOff>
      <xdr:row>17</xdr:row>
      <xdr:rowOff>167640</xdr:rowOff>
    </xdr:to>
    <xdr:graphicFrame macro="">
      <xdr:nvGraphicFramePr>
        <xdr:cNvPr id="2" name="Chart 1">
          <a:extLst>
            <a:ext uri="{FF2B5EF4-FFF2-40B4-BE49-F238E27FC236}">
              <a16:creationId xmlns:a16="http://schemas.microsoft.com/office/drawing/2014/main" id="{AC151C1D-D677-4A89-9BCE-6AB351BB048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586740</xdr:colOff>
      <xdr:row>15</xdr:row>
      <xdr:rowOff>38100</xdr:rowOff>
    </xdr:from>
    <xdr:to>
      <xdr:col>12</xdr:col>
      <xdr:colOff>495300</xdr:colOff>
      <xdr:row>16</xdr:row>
      <xdr:rowOff>160020</xdr:rowOff>
    </xdr:to>
    <xdr:sp macro="" textlink="">
      <xdr:nvSpPr>
        <xdr:cNvPr id="3" name="TextBox 2">
          <a:extLst>
            <a:ext uri="{FF2B5EF4-FFF2-40B4-BE49-F238E27FC236}">
              <a16:creationId xmlns:a16="http://schemas.microsoft.com/office/drawing/2014/main" id="{7BBEA981-EBB5-5B94-1099-4C529604008B}"/>
            </a:ext>
          </a:extLst>
        </xdr:cNvPr>
        <xdr:cNvSpPr txBox="1"/>
      </xdr:nvSpPr>
      <xdr:spPr>
        <a:xfrm>
          <a:off x="3634740" y="2781300"/>
          <a:ext cx="4175760" cy="3048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100">
              <a:solidFill>
                <a:schemeClr val="bg1"/>
              </a:solidFill>
            </a:rPr>
            <a:t>Use an area sparkline to show trends, spot drops in satisfaction scores</a:t>
          </a:r>
        </a:p>
      </xdr:txBody>
    </xdr:sp>
    <xdr:clientData/>
  </xdr:twoCellAnchor>
</xdr:wsDr>
</file>

<file path=xl/drawings/drawing9.xml><?xml version="1.0" encoding="utf-8"?>
<c:userShapes xmlns:c="http://schemas.openxmlformats.org/drawingml/2006/chart">
  <cdr:relSizeAnchor xmlns:cdr="http://schemas.openxmlformats.org/drawingml/2006/chartDrawing">
    <cdr:from>
      <cdr:x>0.00461</cdr:x>
      <cdr:y>0.02558</cdr:y>
    </cdr:from>
    <cdr:to>
      <cdr:x>0.05995</cdr:x>
      <cdr:y>0.19535</cdr:y>
    </cdr:to>
    <cdr:pic>
      <cdr:nvPicPr>
        <cdr:cNvPr id="3" name="Graphic 2" descr="Home with solid fill">
          <a:hlinkClick xmlns:a="http://schemas.openxmlformats.org/drawingml/2006/main" xmlns:r="http://schemas.openxmlformats.org/officeDocument/2006/relationships" r:id="rId1"/>
          <a:extLst xmlns:a="http://schemas.openxmlformats.org/drawingml/2006/main">
            <a:ext uri="{FF2B5EF4-FFF2-40B4-BE49-F238E27FC236}">
              <a16:creationId xmlns:a16="http://schemas.microsoft.com/office/drawing/2014/main" id="{6582AF69-642E-939D-3C00-C5873ECA708A}"/>
            </a:ext>
          </a:extLst>
        </cdr:cNvPr>
        <cdr:cNvPicPr>
          <a:picLocks xmlns:a="http://schemas.openxmlformats.org/drawingml/2006/main" noChangeAspect="1"/>
        </cdr:cNvPicPr>
      </cdr:nvPicPr>
      <cdr:blipFill>
        <a:blip xmlns:a="http://schemas.openxmlformats.org/drawingml/2006/main" xmlns:r="http://schemas.openxmlformats.org/officeDocument/2006/relationships" r:embed="rId2">
          <a:extLst>
            <a:ext uri="{96DAC541-7B7A-43D3-8B79-37D633B846F1}">
              <asvg:svgBlip xmlns:asvg="http://schemas.microsoft.com/office/drawing/2016/SVG/main" r:embed="rId3"/>
            </a:ext>
          </a:extLst>
        </a:blip>
        <a:stretch xmlns:a="http://schemas.openxmlformats.org/drawingml/2006/main">
          <a:fillRect/>
        </a:stretch>
      </cdr:blipFill>
      <cdr:spPr>
        <a:xfrm xmlns:a="http://schemas.openxmlformats.org/drawingml/2006/main">
          <a:off x="53340" y="83820"/>
          <a:ext cx="640080" cy="556260"/>
        </a:xfrm>
        <a:prstGeom xmlns:a="http://schemas.openxmlformats.org/drawingml/2006/main" prst="rect">
          <a:avLst/>
        </a:prstGeom>
      </cdr:spPr>
    </cdr:pic>
  </cdr:relSizeAnchor>
</c:userShape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SUS" refreshedDate="46008.882247337962" createdVersion="5" refreshedVersion="8" minRefreshableVersion="3" recordCount="0" supportSubquery="1" supportAdvancedDrill="1" xr:uid="{F1C5EEB5-4290-4439-BCC7-527D9B4E6C6B}">
  <cacheSource type="external" connectionId="3"/>
  <cacheFields count="4">
    <cacheField name="[Measures].[Distinct Count of Patient Id]" caption="Distinct Count of Patient Id" numFmtId="0" hierarchy="24" level="32767"/>
    <cacheField name="[Calender_Table].[Date (Day)].[Date (Day)]" caption="Date (Day)" numFmtId="0" hierarchy="2" level="1">
      <sharedItems count="30">
        <s v="1-Jun"/>
        <s v="2-Jun"/>
        <s v="3-Jun"/>
        <s v="4-Jun"/>
        <s v="5-Jun"/>
        <s v="6-Jun"/>
        <s v="7-Jun"/>
        <s v="8-Jun"/>
        <s v="9-Jun"/>
        <s v="10-Jun"/>
        <s v="11-Jun"/>
        <s v="12-Jun"/>
        <s v="13-Jun"/>
        <s v="14-Jun"/>
        <s v="15-Jun"/>
        <s v="16-Jun"/>
        <s v="17-Jun"/>
        <s v="18-Jun"/>
        <s v="19-Jun"/>
        <s v="20-Jun"/>
        <s v="21-Jun"/>
        <s v="22-Jun"/>
        <s v="23-Jun"/>
        <s v="24-Jun"/>
        <s v="25-Jun"/>
        <s v="26-Jun"/>
        <s v="27-Jun"/>
        <s v="28-Jun"/>
        <s v="29-Jun"/>
        <s v="30-Jun"/>
      </sharedItems>
    </cacheField>
    <cacheField name="[Calender_Table].[Date (Month)].[Date (Month)]" caption="Date (Month)" numFmtId="0" hierarchy="1" level="1">
      <sharedItems containsSemiMixedTypes="0" containsNonDate="0" containsString="0"/>
    </cacheField>
    <cacheField name="[Calender_Table].[Date (Year)].[Date (Year)]" caption="Date (Year)" numFmtId="0" hierarchy="3" level="1">
      <sharedItems containsSemiMixedTypes="0" containsNonDate="0" containsString="0"/>
    </cacheField>
  </cacheFields>
  <cacheHierarchies count="35">
    <cacheHierarchy uniqueName="[Calender_Table].[Date]" caption="Date" attribute="1" time="1" defaultMemberUniqueName="[Calender_Table].[Date].[All]" allUniqueName="[Calender_Table].[Date].[All]" dimensionUniqueName="[Calender_Table]" displayFolder="" count="0" memberValueDatatype="7" unbalanced="0"/>
    <cacheHierarchy uniqueName="[Calender_Table].[Date (Month)]" caption="Date (Month)" attribute="1" defaultMemberUniqueName="[Calender_Table].[Date (Month)].[All]" allUniqueName="[Calender_Table].[Date (Month)].[All]" dimensionUniqueName="[Calender_Table]" displayFolder="" count="2" memberValueDatatype="130" unbalanced="0">
      <fieldsUsage count="2">
        <fieldUsage x="-1"/>
        <fieldUsage x="2"/>
      </fieldsUsage>
    </cacheHierarchy>
    <cacheHierarchy uniqueName="[Calender_Table].[Date (Day)]" caption="Date (Day)" attribute="1" defaultMemberUniqueName="[Calender_Table].[Date (Day)].[All]" allUniqueName="[Calender_Table].[Date (Day)].[All]" dimensionUniqueName="[Calender_Table]" displayFolder="" count="2" memberValueDatatype="130" unbalanced="0">
      <fieldsUsage count="2">
        <fieldUsage x="-1"/>
        <fieldUsage x="1"/>
      </fieldsUsage>
    </cacheHierarchy>
    <cacheHierarchy uniqueName="[Calender_Table].[Date (Year)]" caption="Date (Year)" attribute="1" defaultMemberUniqueName="[Calender_Table].[Date (Year)].[All]" allUniqueName="[Calender_Table].[Date (Year)].[All]" dimensionUniqueName="[Calender_Table]" displayFolder="" count="2" memberValueDatatype="130" unbalanced="0">
      <fieldsUsage count="2">
        <fieldUsage x="-1"/>
        <fieldUsage x="3"/>
      </fieldsUsage>
    </cacheHierarchy>
    <cacheHierarchy uniqueName="[Calender_Table].[Date (Quarter)]" caption="Date (Quarter)" attribute="1" defaultMemberUniqueName="[Calender_Table].[Date (Quarter)].[All]" allUniqueName="[Calender_Table].[Date (Quarter)].[All]" dimensionUniqueName="[Calender_Table]" displayFolder="" count="0" memberValueDatatype="130" unbalanced="0"/>
    <cacheHierarchy uniqueName="[Hospital Emergency Room Data].[Patient Id]" caption="Patient Id" attribute="1" defaultMemberUniqueName="[Hospital Emergency Room Data].[Patient Id].[All]" allUniqueName="[Hospital Emergency Room Data].[Patient Id].[All]" dimensionUniqueName="[Hospital Emergency Room Data]" displayFolder="" count="0" memberValueDatatype="130" unbalanced="0"/>
    <cacheHierarchy uniqueName="[Hospital Emergency Room Data].[Patient Admission Date]" caption="Patient Admission Date" attribute="1" time="1" defaultMemberUniqueName="[Hospital Emergency Room Data].[Patient Admission Date].[All]" allUniqueName="[Hospital Emergency Room Data].[Patient Admission Date].[All]" dimensionUniqueName="[Hospital Emergency Room Data]" displayFolder="" count="0" memberValueDatatype="7" unbalanced="0"/>
    <cacheHierarchy uniqueName="[Hospital Emergency Room Data].[Patient Admission Time]" caption="Patient Admission Time" attribute="1" time="1" defaultMemberUniqueName="[Hospital Emergency Room Data].[Patient Admission Time].[All]" allUniqueName="[Hospital Emergency Room Data].[Patient Admission Time].[All]" dimensionUniqueName="[Hospital Emergency Room Data]" displayFolder="" count="0" memberValueDatatype="7" unbalanced="0"/>
    <cacheHierarchy uniqueName="[Hospital Emergency Room Data].[Merged]" caption="Merged" attribute="1" defaultMemberUniqueName="[Hospital Emergency Room Data].[Merged].[All]" allUniqueName="[Hospital Emergency Room Data].[Merged].[All]" dimensionUniqueName="[Hospital Emergency Room Data]" displayFolder="" count="0" memberValueDatatype="130" unbalanced="0"/>
    <cacheHierarchy uniqueName="[Hospital Emergency Room Data].[Patient Gender]" caption="Patient Gender" attribute="1" defaultMemberUniqueName="[Hospital Emergency Room Data].[Patient Gender].[All]" allUniqueName="[Hospital Emergency Room Data].[Patient Gender].[All]" dimensionUniqueName="[Hospital Emergency Room Data]" displayFolder="" count="0" memberValueDatatype="130" unbalanced="0"/>
    <cacheHierarchy uniqueName="[Hospital Emergency Room Data].[Patient Age]" caption="Patient Age" attribute="1" defaultMemberUniqueName="[Hospital Emergency Room Data].[Patient Age].[All]" allUniqueName="[Hospital Emergency Room Data].[Patient Age].[All]" dimensionUniqueName="[Hospital Emergency Room Data]" displayFolder="" count="0" memberValueDatatype="20" unbalanced="0"/>
    <cacheHierarchy uniqueName="[Hospital Emergency Room Data].[Patient Race]" caption="Patient Race" attribute="1" defaultMemberUniqueName="[Hospital Emergency Room Data].[Patient Race].[All]" allUniqueName="[Hospital Emergency Room Data].[Patient Race].[All]" dimensionUniqueName="[Hospital Emergency Room Data]" displayFolder="" count="0" memberValueDatatype="130" unbalanced="0"/>
    <cacheHierarchy uniqueName="[Hospital Emergency Room Data].[Department Referral]" caption="Department Referral" attribute="1" defaultMemberUniqueName="[Hospital Emergency Room Data].[Department Referral].[All]" allUniqueName="[Hospital Emergency Room Data].[Department Referral].[All]" dimensionUniqueName="[Hospital Emergency Room Data]" displayFolder="" count="0" memberValueDatatype="130" unbalanced="0"/>
    <cacheHierarchy uniqueName="[Hospital Emergency Room Data].[Patient Admission Flag]" caption="Patient Admission Flag" attribute="1" defaultMemberUniqueName="[Hospital Emergency Room Data].[Patient Admission Flag].[All]" allUniqueName="[Hospital Emergency Room Data].[Patient Admission Flag].[All]" dimensionUniqueName="[Hospital Emergency Room Data]" displayFolder="" count="0" memberValueDatatype="130" unbalanced="0"/>
    <cacheHierarchy uniqueName="[Hospital Emergency Room Data].[Patient Satisfaction Score]" caption="Patient Satisfaction Score" attribute="1" defaultMemberUniqueName="[Hospital Emergency Room Data].[Patient Satisfaction Score].[All]" allUniqueName="[Hospital Emergency Room Data].[Patient Satisfaction Score].[All]" dimensionUniqueName="[Hospital Emergency Room Data]" displayFolder="" count="0" memberValueDatatype="20" unbalanced="0"/>
    <cacheHierarchy uniqueName="[Hospital Emergency Room Data].[Patient Waittime]" caption="Patient Waittime" attribute="1" defaultMemberUniqueName="[Hospital Emergency Room Data].[Patient Waittime].[All]" allUniqueName="[Hospital Emergency Room Data].[Patient Waittime].[All]" dimensionUniqueName="[Hospital Emergency Room Data]" displayFolder="" count="0" memberValueDatatype="20" unbalanced="0"/>
    <cacheHierarchy uniqueName="[Hospital Emergency Room Data].[Age-Group]" caption="Age-Group" attribute="1" defaultMemberUniqueName="[Hospital Emergency Room Data].[Age-Group].[All]" allUniqueName="[Hospital Emergency Room Data].[Age-Group].[All]" dimensionUniqueName="[Hospital Emergency Room Data]" displayFolder="" count="0" memberValueDatatype="130" unbalanced="0"/>
    <cacheHierarchy uniqueName="[Hospital Emergency Room Data].[Patient Attend Status]" caption="Patient Attend Status" attribute="1" defaultMemberUniqueName="[Hospital Emergency Room Data].[Patient Attend Status].[All]" allUniqueName="[Hospital Emergency Room Data].[Patient Attend Status].[All]" dimensionUniqueName="[Hospital Emergency Room Data]" displayFolder="" count="0" memberValueDatatype="130" unbalanced="0"/>
    <cacheHierarchy uniqueName="[Calender_Table].[Date (Day Index)]" caption="Date (Day Index)" attribute="1" defaultMemberUniqueName="[Calender_Table].[Date (Day Index)].[All]" allUniqueName="[Calender_Table].[Date (Day Index)].[All]" dimensionUniqueName="[Calender_Table]" displayFolder="" count="0" memberValueDatatype="5" unbalanced="0" hidden="1"/>
    <cacheHierarchy uniqueName="[Calender_Table].[Date (Month Index)]" caption="Date (Month Index)" attribute="1" defaultMemberUniqueName="[Calender_Table].[Date (Month Index)].[All]" allUniqueName="[Calender_Table].[Date (Month Index)].[All]" dimensionUniqueName="[Calender_Table]" displayFolder="" count="0" memberValueDatatype="20" unbalanced="0" hidden="1"/>
    <cacheHierarchy uniqueName="[Measures].[__XL_Count Hospital Emergency Room Data]" caption="__XL_Count Hospital Emergency Room Data" measure="1" displayFolder="" measureGroup="Hospital Emergency Room Data" count="0" hidden="1"/>
    <cacheHierarchy uniqueName="[Measures].[__XL_Count Calender_Table]" caption="__XL_Count Calender_Table" measure="1" displayFolder="" measureGroup="Calender_Table" count="0" hidden="1"/>
    <cacheHierarchy uniqueName="[Measures].[__No measures defined]" caption="__No measures defined" measure="1" displayFolder="" count="0" hidden="1"/>
    <cacheHierarchy uniqueName="[Measures].[Count of Patient Id]" caption="Count of Patient Id" measure="1" displayFolder="" measureGroup="Hospital Emergency Room Data" count="0" hidden="1">
      <extLst>
        <ext xmlns:x15="http://schemas.microsoft.com/office/spreadsheetml/2010/11/main" uri="{B97F6D7D-B522-45F9-BDA1-12C45D357490}">
          <x15:cacheHierarchy aggregatedColumn="5"/>
        </ext>
      </extLst>
    </cacheHierarchy>
    <cacheHierarchy uniqueName="[Measures].[Distinct Count of Patient Id]" caption="Distinct Count of Patient Id" measure="1" displayFolder="" measureGroup="Hospital Emergency Room Data" count="0" oneField="1" hidden="1">
      <fieldsUsage count="1">
        <fieldUsage x="0"/>
      </fieldsUsage>
      <extLst>
        <ext xmlns:x15="http://schemas.microsoft.com/office/spreadsheetml/2010/11/main" uri="{B97F6D7D-B522-45F9-BDA1-12C45D357490}">
          <x15:cacheHierarchy aggregatedColumn="5"/>
        </ext>
      </extLst>
    </cacheHierarchy>
    <cacheHierarchy uniqueName="[Measures].[Sum of Patient Waittime]" caption="Sum of Patient Waittim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Average of Patient Waittime]" caption="Average of Patient Waittim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Sum of Patient Satisfaction Score]" caption="Sum of Patient Satisfaction Scor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Average of Patient Satisfaction Score]" caption="Average of Patient Satisfaction Scor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Count of Patient Admission Flag]" caption="Count of Patient Admission Flag" measure="1" displayFolder="" measureGroup="Hospital Emergency Room Data" count="0" hidden="1">
      <extLst>
        <ext xmlns:x15="http://schemas.microsoft.com/office/spreadsheetml/2010/11/main" uri="{B97F6D7D-B522-45F9-BDA1-12C45D357490}">
          <x15:cacheHierarchy aggregatedColumn="13"/>
        </ext>
      </extLst>
    </cacheHierarchy>
    <cacheHierarchy uniqueName="[Measures].[Count of Patient Attend Status]" caption="Count of Patient Attend Status" measure="1" displayFolder="" measureGroup="Hospital Emergency Room Data" count="0" hidden="1">
      <extLst>
        <ext xmlns:x15="http://schemas.microsoft.com/office/spreadsheetml/2010/11/main" uri="{B97F6D7D-B522-45F9-BDA1-12C45D357490}">
          <x15:cacheHierarchy aggregatedColumn="17"/>
        </ext>
      </extLst>
    </cacheHierarchy>
    <cacheHierarchy uniqueName="[Measures].[Count of Age-Group]" caption="Count of Age-Group" measure="1" displayFolder="" measureGroup="Hospital Emergency Room Data" count="0" hidden="1">
      <extLst>
        <ext xmlns:x15="http://schemas.microsoft.com/office/spreadsheetml/2010/11/main" uri="{B97F6D7D-B522-45F9-BDA1-12C45D357490}">
          <x15:cacheHierarchy aggregatedColumn="16"/>
        </ext>
      </extLst>
    </cacheHierarchy>
    <cacheHierarchy uniqueName="[Measures].[Count of Patient Waittime]" caption="Count of Patient Waittim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Count of Patient Gender]" caption="Count of Patient Gender" measure="1" displayFolder="" measureGroup="Hospital Emergency Room Data" count="0" hidden="1">
      <extLst>
        <ext xmlns:x15="http://schemas.microsoft.com/office/spreadsheetml/2010/11/main" uri="{B97F6D7D-B522-45F9-BDA1-12C45D357490}">
          <x15:cacheHierarchy aggregatedColumn="9"/>
        </ext>
      </extLst>
    </cacheHierarchy>
    <cacheHierarchy uniqueName="[Measures].[Count of Department Referral]" caption="Count of Department Referral" measure="1" displayFolder="" measureGroup="Hospital Emergency Room Data" count="0" hidden="1">
      <extLst>
        <ext xmlns:x15="http://schemas.microsoft.com/office/spreadsheetml/2010/11/main" uri="{B97F6D7D-B522-45F9-BDA1-12C45D357490}">
          <x15:cacheHierarchy aggregatedColumn="12"/>
        </ext>
      </extLst>
    </cacheHierarchy>
  </cacheHierarchies>
  <kpis count="0"/>
  <dimensions count="3">
    <dimension name="Calender_Table" uniqueName="[Calender_Table]" caption="Calender_Table"/>
    <dimension name="Hospital Emergency Room Data" uniqueName="[Hospital Emergency Room Data]" caption="Hospital Emergency Room Data"/>
    <dimension measure="1" name="Measures" uniqueName="[Measures]" caption="Measures"/>
  </dimensions>
  <measureGroups count="2">
    <measureGroup name="Calender_Table" caption="Calender_Table"/>
    <measureGroup name="Hospital Emergency Room Data" caption="Hospital Emergency Room Data"/>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SUS" refreshedDate="46008.882247453701" createdVersion="5" refreshedVersion="8" minRefreshableVersion="3" recordCount="0" supportSubquery="1" supportAdvancedDrill="1" xr:uid="{081BF762-2478-4EF3-92BA-1544F6E02BC5}">
  <cacheSource type="external" connectionId="3"/>
  <cacheFields count="3">
    <cacheField name="[Measures].[Distinct Count of Patient Id]" caption="Distinct Count of Patient Id" numFmtId="0" hierarchy="24" level="32767"/>
    <cacheField name="[Calender_Table].[Date (Month)].[Date (Month)]" caption="Date (Month)" numFmtId="0" hierarchy="1" level="1">
      <sharedItems containsSemiMixedTypes="0" containsNonDate="0" containsString="0"/>
    </cacheField>
    <cacheField name="[Calender_Table].[Date (Year)].[Date (Year)]" caption="Date (Year)" numFmtId="0" hierarchy="3" level="1">
      <sharedItems containsSemiMixedTypes="0" containsNonDate="0" containsString="0"/>
    </cacheField>
  </cacheFields>
  <cacheHierarchies count="35">
    <cacheHierarchy uniqueName="[Calender_Table].[Date]" caption="Date" attribute="1" time="1" defaultMemberUniqueName="[Calender_Table].[Date].[All]" allUniqueName="[Calender_Table].[Date].[All]" dimensionUniqueName="[Calender_Table]" displayFolder="" count="0" memberValueDatatype="7" unbalanced="0"/>
    <cacheHierarchy uniqueName="[Calender_Table].[Date (Month)]" caption="Date (Month)" attribute="1" defaultMemberUniqueName="[Calender_Table].[Date (Month)].[All]" allUniqueName="[Calender_Table].[Date (Month)].[All]" dimensionUniqueName="[Calender_Table]" displayFolder="" count="2" memberValueDatatype="130" unbalanced="0">
      <fieldsUsage count="2">
        <fieldUsage x="-1"/>
        <fieldUsage x="1"/>
      </fieldsUsage>
    </cacheHierarchy>
    <cacheHierarchy uniqueName="[Calender_Table].[Date (Day)]" caption="Date (Day)" attribute="1" defaultMemberUniqueName="[Calender_Table].[Date (Day)].[All]" allUniqueName="[Calender_Table].[Date (Day)].[All]" dimensionUniqueName="[Calender_Table]" displayFolder="" count="0" memberValueDatatype="130" unbalanced="0"/>
    <cacheHierarchy uniqueName="[Calender_Table].[Date (Year)]" caption="Date (Year)" attribute="1" defaultMemberUniqueName="[Calender_Table].[Date (Year)].[All]" allUniqueName="[Calender_Table].[Date (Year)].[All]" dimensionUniqueName="[Calender_Table]" displayFolder="" count="2" memberValueDatatype="130" unbalanced="0">
      <fieldsUsage count="2">
        <fieldUsage x="-1"/>
        <fieldUsage x="2"/>
      </fieldsUsage>
    </cacheHierarchy>
    <cacheHierarchy uniqueName="[Calender_Table].[Date (Quarter)]" caption="Date (Quarter)" attribute="1" defaultMemberUniqueName="[Calender_Table].[Date (Quarter)].[All]" allUniqueName="[Calender_Table].[Date (Quarter)].[All]" dimensionUniqueName="[Calender_Table]" displayFolder="" count="0" memberValueDatatype="130" unbalanced="0"/>
    <cacheHierarchy uniqueName="[Hospital Emergency Room Data].[Patient Id]" caption="Patient Id" attribute="1" defaultMemberUniqueName="[Hospital Emergency Room Data].[Patient Id].[All]" allUniqueName="[Hospital Emergency Room Data].[Patient Id].[All]" dimensionUniqueName="[Hospital Emergency Room Data]" displayFolder="" count="0" memberValueDatatype="130" unbalanced="0"/>
    <cacheHierarchy uniqueName="[Hospital Emergency Room Data].[Patient Admission Date]" caption="Patient Admission Date" attribute="1" time="1" defaultMemberUniqueName="[Hospital Emergency Room Data].[Patient Admission Date].[All]" allUniqueName="[Hospital Emergency Room Data].[Patient Admission Date].[All]" dimensionUniqueName="[Hospital Emergency Room Data]" displayFolder="" count="0" memberValueDatatype="7" unbalanced="0"/>
    <cacheHierarchy uniqueName="[Hospital Emergency Room Data].[Patient Admission Time]" caption="Patient Admission Time" attribute="1" time="1" defaultMemberUniqueName="[Hospital Emergency Room Data].[Patient Admission Time].[All]" allUniqueName="[Hospital Emergency Room Data].[Patient Admission Time].[All]" dimensionUniqueName="[Hospital Emergency Room Data]" displayFolder="" count="0" memberValueDatatype="7" unbalanced="0"/>
    <cacheHierarchy uniqueName="[Hospital Emergency Room Data].[Merged]" caption="Merged" attribute="1" defaultMemberUniqueName="[Hospital Emergency Room Data].[Merged].[All]" allUniqueName="[Hospital Emergency Room Data].[Merged].[All]" dimensionUniqueName="[Hospital Emergency Room Data]" displayFolder="" count="0" memberValueDatatype="130" unbalanced="0"/>
    <cacheHierarchy uniqueName="[Hospital Emergency Room Data].[Patient Gender]" caption="Patient Gender" attribute="1" defaultMemberUniqueName="[Hospital Emergency Room Data].[Patient Gender].[All]" allUniqueName="[Hospital Emergency Room Data].[Patient Gender].[All]" dimensionUniqueName="[Hospital Emergency Room Data]" displayFolder="" count="0" memberValueDatatype="130" unbalanced="0"/>
    <cacheHierarchy uniqueName="[Hospital Emergency Room Data].[Patient Age]" caption="Patient Age" attribute="1" defaultMemberUniqueName="[Hospital Emergency Room Data].[Patient Age].[All]" allUniqueName="[Hospital Emergency Room Data].[Patient Age].[All]" dimensionUniqueName="[Hospital Emergency Room Data]" displayFolder="" count="0" memberValueDatatype="20" unbalanced="0"/>
    <cacheHierarchy uniqueName="[Hospital Emergency Room Data].[Patient Race]" caption="Patient Race" attribute="1" defaultMemberUniqueName="[Hospital Emergency Room Data].[Patient Race].[All]" allUniqueName="[Hospital Emergency Room Data].[Patient Race].[All]" dimensionUniqueName="[Hospital Emergency Room Data]" displayFolder="" count="0" memberValueDatatype="130" unbalanced="0"/>
    <cacheHierarchy uniqueName="[Hospital Emergency Room Data].[Department Referral]" caption="Department Referral" attribute="1" defaultMemberUniqueName="[Hospital Emergency Room Data].[Department Referral].[All]" allUniqueName="[Hospital Emergency Room Data].[Department Referral].[All]" dimensionUniqueName="[Hospital Emergency Room Data]" displayFolder="" count="0" memberValueDatatype="130" unbalanced="0"/>
    <cacheHierarchy uniqueName="[Hospital Emergency Room Data].[Patient Admission Flag]" caption="Patient Admission Flag" attribute="1" defaultMemberUniqueName="[Hospital Emergency Room Data].[Patient Admission Flag].[All]" allUniqueName="[Hospital Emergency Room Data].[Patient Admission Flag].[All]" dimensionUniqueName="[Hospital Emergency Room Data]" displayFolder="" count="0" memberValueDatatype="130" unbalanced="0"/>
    <cacheHierarchy uniqueName="[Hospital Emergency Room Data].[Patient Satisfaction Score]" caption="Patient Satisfaction Score" attribute="1" defaultMemberUniqueName="[Hospital Emergency Room Data].[Patient Satisfaction Score].[All]" allUniqueName="[Hospital Emergency Room Data].[Patient Satisfaction Score].[All]" dimensionUniqueName="[Hospital Emergency Room Data]" displayFolder="" count="0" memberValueDatatype="20" unbalanced="0"/>
    <cacheHierarchy uniqueName="[Hospital Emergency Room Data].[Patient Waittime]" caption="Patient Waittime" attribute="1" defaultMemberUniqueName="[Hospital Emergency Room Data].[Patient Waittime].[All]" allUniqueName="[Hospital Emergency Room Data].[Patient Waittime].[All]" dimensionUniqueName="[Hospital Emergency Room Data]" displayFolder="" count="0" memberValueDatatype="20" unbalanced="0"/>
    <cacheHierarchy uniqueName="[Hospital Emergency Room Data].[Age-Group]" caption="Age-Group" attribute="1" defaultMemberUniqueName="[Hospital Emergency Room Data].[Age-Group].[All]" allUniqueName="[Hospital Emergency Room Data].[Age-Group].[All]" dimensionUniqueName="[Hospital Emergency Room Data]" displayFolder="" count="0" memberValueDatatype="130" unbalanced="0"/>
    <cacheHierarchy uniqueName="[Hospital Emergency Room Data].[Patient Attend Status]" caption="Patient Attend Status" attribute="1" defaultMemberUniqueName="[Hospital Emergency Room Data].[Patient Attend Status].[All]" allUniqueName="[Hospital Emergency Room Data].[Patient Attend Status].[All]" dimensionUniqueName="[Hospital Emergency Room Data]" displayFolder="" count="0" memberValueDatatype="130" unbalanced="0"/>
    <cacheHierarchy uniqueName="[Calender_Table].[Date (Day Index)]" caption="Date (Day Index)" attribute="1" defaultMemberUniqueName="[Calender_Table].[Date (Day Index)].[All]" allUniqueName="[Calender_Table].[Date (Day Index)].[All]" dimensionUniqueName="[Calender_Table]" displayFolder="" count="0" memberValueDatatype="5" unbalanced="0" hidden="1"/>
    <cacheHierarchy uniqueName="[Calender_Table].[Date (Month Index)]" caption="Date (Month Index)" attribute="1" defaultMemberUniqueName="[Calender_Table].[Date (Month Index)].[All]" allUniqueName="[Calender_Table].[Date (Month Index)].[All]" dimensionUniqueName="[Calender_Table]" displayFolder="" count="0" memberValueDatatype="20" unbalanced="0" hidden="1"/>
    <cacheHierarchy uniqueName="[Measures].[__XL_Count Hospital Emergency Room Data]" caption="__XL_Count Hospital Emergency Room Data" measure="1" displayFolder="" measureGroup="Hospital Emergency Room Data" count="0" hidden="1"/>
    <cacheHierarchy uniqueName="[Measures].[__XL_Count Calender_Table]" caption="__XL_Count Calender_Table" measure="1" displayFolder="" measureGroup="Calender_Table" count="0" hidden="1"/>
    <cacheHierarchy uniqueName="[Measures].[__No measures defined]" caption="__No measures defined" measure="1" displayFolder="" count="0" hidden="1"/>
    <cacheHierarchy uniqueName="[Measures].[Count of Patient Id]" caption="Count of Patient Id" measure="1" displayFolder="" measureGroup="Hospital Emergency Room Data" count="0" hidden="1">
      <extLst>
        <ext xmlns:x15="http://schemas.microsoft.com/office/spreadsheetml/2010/11/main" uri="{B97F6D7D-B522-45F9-BDA1-12C45D357490}">
          <x15:cacheHierarchy aggregatedColumn="5"/>
        </ext>
      </extLst>
    </cacheHierarchy>
    <cacheHierarchy uniqueName="[Measures].[Distinct Count of Patient Id]" caption="Distinct Count of Patient Id" measure="1" displayFolder="" measureGroup="Hospital Emergency Room Data" count="0" oneField="1" hidden="1">
      <fieldsUsage count="1">
        <fieldUsage x="0"/>
      </fieldsUsage>
      <extLst>
        <ext xmlns:x15="http://schemas.microsoft.com/office/spreadsheetml/2010/11/main" uri="{B97F6D7D-B522-45F9-BDA1-12C45D357490}">
          <x15:cacheHierarchy aggregatedColumn="5"/>
        </ext>
      </extLst>
    </cacheHierarchy>
    <cacheHierarchy uniqueName="[Measures].[Sum of Patient Waittime]" caption="Sum of Patient Waittim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Average of Patient Waittime]" caption="Average of Patient Waittim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Sum of Patient Satisfaction Score]" caption="Sum of Patient Satisfaction Scor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Average of Patient Satisfaction Score]" caption="Average of Patient Satisfaction Scor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Count of Patient Admission Flag]" caption="Count of Patient Admission Flag" measure="1" displayFolder="" measureGroup="Hospital Emergency Room Data" count="0" hidden="1">
      <extLst>
        <ext xmlns:x15="http://schemas.microsoft.com/office/spreadsheetml/2010/11/main" uri="{B97F6D7D-B522-45F9-BDA1-12C45D357490}">
          <x15:cacheHierarchy aggregatedColumn="13"/>
        </ext>
      </extLst>
    </cacheHierarchy>
    <cacheHierarchy uniqueName="[Measures].[Count of Patient Attend Status]" caption="Count of Patient Attend Status" measure="1" displayFolder="" measureGroup="Hospital Emergency Room Data" count="0" hidden="1">
      <extLst>
        <ext xmlns:x15="http://schemas.microsoft.com/office/spreadsheetml/2010/11/main" uri="{B97F6D7D-B522-45F9-BDA1-12C45D357490}">
          <x15:cacheHierarchy aggregatedColumn="17"/>
        </ext>
      </extLst>
    </cacheHierarchy>
    <cacheHierarchy uniqueName="[Measures].[Count of Age-Group]" caption="Count of Age-Group" measure="1" displayFolder="" measureGroup="Hospital Emergency Room Data" count="0" hidden="1">
      <extLst>
        <ext xmlns:x15="http://schemas.microsoft.com/office/spreadsheetml/2010/11/main" uri="{B97F6D7D-B522-45F9-BDA1-12C45D357490}">
          <x15:cacheHierarchy aggregatedColumn="16"/>
        </ext>
      </extLst>
    </cacheHierarchy>
    <cacheHierarchy uniqueName="[Measures].[Count of Patient Waittime]" caption="Count of Patient Waittim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Count of Patient Gender]" caption="Count of Patient Gender" measure="1" displayFolder="" measureGroup="Hospital Emergency Room Data" count="0" hidden="1">
      <extLst>
        <ext xmlns:x15="http://schemas.microsoft.com/office/spreadsheetml/2010/11/main" uri="{B97F6D7D-B522-45F9-BDA1-12C45D357490}">
          <x15:cacheHierarchy aggregatedColumn="9"/>
        </ext>
      </extLst>
    </cacheHierarchy>
    <cacheHierarchy uniqueName="[Measures].[Count of Department Referral]" caption="Count of Department Referral" measure="1" displayFolder="" measureGroup="Hospital Emergency Room Data" count="0" hidden="1">
      <extLst>
        <ext xmlns:x15="http://schemas.microsoft.com/office/spreadsheetml/2010/11/main" uri="{B97F6D7D-B522-45F9-BDA1-12C45D357490}">
          <x15:cacheHierarchy aggregatedColumn="12"/>
        </ext>
      </extLst>
    </cacheHierarchy>
  </cacheHierarchies>
  <kpis count="0"/>
  <dimensions count="3">
    <dimension name="Calender_Table" uniqueName="[Calender_Table]" caption="Calender_Table"/>
    <dimension name="Hospital Emergency Room Data" uniqueName="[Hospital Emergency Room Data]" caption="Hospital Emergency Room Data"/>
    <dimension measure="1" name="Measures" uniqueName="[Measures]" caption="Measures"/>
  </dimensions>
  <measureGroups count="2">
    <measureGroup name="Calender_Table" caption="Calender_Table"/>
    <measureGroup name="Hospital Emergency Room Data" caption="Hospital Emergency Room Data"/>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SUS" refreshedDate="46008.882247569447" createdVersion="5" refreshedVersion="8" minRefreshableVersion="3" recordCount="0" supportSubquery="1" supportAdvancedDrill="1" xr:uid="{777CB2CA-E095-40AC-B569-33290C877B58}">
  <cacheSource type="external" connectionId="3"/>
  <cacheFields count="3">
    <cacheField name="[Measures].[Average of Patient Waittime]" caption="Average of Patient Waittime" numFmtId="0" hierarchy="26" level="32767"/>
    <cacheField name="[Calender_Table].[Date (Month)].[Date (Month)]" caption="Date (Month)" numFmtId="0" hierarchy="1" level="1">
      <sharedItems containsSemiMixedTypes="0" containsNonDate="0" containsString="0"/>
    </cacheField>
    <cacheField name="[Calender_Table].[Date (Year)].[Date (Year)]" caption="Date (Year)" numFmtId="0" hierarchy="3" level="1">
      <sharedItems containsSemiMixedTypes="0" containsNonDate="0" containsString="0"/>
    </cacheField>
  </cacheFields>
  <cacheHierarchies count="35">
    <cacheHierarchy uniqueName="[Calender_Table].[Date]" caption="Date" attribute="1" time="1" defaultMemberUniqueName="[Calender_Table].[Date].[All]" allUniqueName="[Calender_Table].[Date].[All]" dimensionUniqueName="[Calender_Table]" displayFolder="" count="0" memberValueDatatype="7" unbalanced="0"/>
    <cacheHierarchy uniqueName="[Calender_Table].[Date (Month)]" caption="Date (Month)" attribute="1" defaultMemberUniqueName="[Calender_Table].[Date (Month)].[All]" allUniqueName="[Calender_Table].[Date (Month)].[All]" dimensionUniqueName="[Calender_Table]" displayFolder="" count="2" memberValueDatatype="130" unbalanced="0">
      <fieldsUsage count="2">
        <fieldUsage x="-1"/>
        <fieldUsage x="1"/>
      </fieldsUsage>
    </cacheHierarchy>
    <cacheHierarchy uniqueName="[Calender_Table].[Date (Day)]" caption="Date (Day)" attribute="1" defaultMemberUniqueName="[Calender_Table].[Date (Day)].[All]" allUniqueName="[Calender_Table].[Date (Day)].[All]" dimensionUniqueName="[Calender_Table]" displayFolder="" count="0" memberValueDatatype="130" unbalanced="0"/>
    <cacheHierarchy uniqueName="[Calender_Table].[Date (Year)]" caption="Date (Year)" attribute="1" defaultMemberUniqueName="[Calender_Table].[Date (Year)].[All]" allUniqueName="[Calender_Table].[Date (Year)].[All]" dimensionUniqueName="[Calender_Table]" displayFolder="" count="2" memberValueDatatype="130" unbalanced="0">
      <fieldsUsage count="2">
        <fieldUsage x="-1"/>
        <fieldUsage x="2"/>
      </fieldsUsage>
    </cacheHierarchy>
    <cacheHierarchy uniqueName="[Calender_Table].[Date (Quarter)]" caption="Date (Quarter)" attribute="1" defaultMemberUniqueName="[Calender_Table].[Date (Quarter)].[All]" allUniqueName="[Calender_Table].[Date (Quarter)].[All]" dimensionUniqueName="[Calender_Table]" displayFolder="" count="0" memberValueDatatype="130" unbalanced="0"/>
    <cacheHierarchy uniqueName="[Hospital Emergency Room Data].[Patient Id]" caption="Patient Id" attribute="1" defaultMemberUniqueName="[Hospital Emergency Room Data].[Patient Id].[All]" allUniqueName="[Hospital Emergency Room Data].[Patient Id].[All]" dimensionUniqueName="[Hospital Emergency Room Data]" displayFolder="" count="0" memberValueDatatype="130" unbalanced="0"/>
    <cacheHierarchy uniqueName="[Hospital Emergency Room Data].[Patient Admission Date]" caption="Patient Admission Date" attribute="1" time="1" defaultMemberUniqueName="[Hospital Emergency Room Data].[Patient Admission Date].[All]" allUniqueName="[Hospital Emergency Room Data].[Patient Admission Date].[All]" dimensionUniqueName="[Hospital Emergency Room Data]" displayFolder="" count="0" memberValueDatatype="7" unbalanced="0"/>
    <cacheHierarchy uniqueName="[Hospital Emergency Room Data].[Patient Admission Time]" caption="Patient Admission Time" attribute="1" time="1" defaultMemberUniqueName="[Hospital Emergency Room Data].[Patient Admission Time].[All]" allUniqueName="[Hospital Emergency Room Data].[Patient Admission Time].[All]" dimensionUniqueName="[Hospital Emergency Room Data]" displayFolder="" count="0" memberValueDatatype="7" unbalanced="0"/>
    <cacheHierarchy uniqueName="[Hospital Emergency Room Data].[Merged]" caption="Merged" attribute="1" defaultMemberUniqueName="[Hospital Emergency Room Data].[Merged].[All]" allUniqueName="[Hospital Emergency Room Data].[Merged].[All]" dimensionUniqueName="[Hospital Emergency Room Data]" displayFolder="" count="0" memberValueDatatype="130" unbalanced="0"/>
    <cacheHierarchy uniqueName="[Hospital Emergency Room Data].[Patient Gender]" caption="Patient Gender" attribute="1" defaultMemberUniqueName="[Hospital Emergency Room Data].[Patient Gender].[All]" allUniqueName="[Hospital Emergency Room Data].[Patient Gender].[All]" dimensionUniqueName="[Hospital Emergency Room Data]" displayFolder="" count="0" memberValueDatatype="130" unbalanced="0"/>
    <cacheHierarchy uniqueName="[Hospital Emergency Room Data].[Patient Age]" caption="Patient Age" attribute="1" defaultMemberUniqueName="[Hospital Emergency Room Data].[Patient Age].[All]" allUniqueName="[Hospital Emergency Room Data].[Patient Age].[All]" dimensionUniqueName="[Hospital Emergency Room Data]" displayFolder="" count="0" memberValueDatatype="20" unbalanced="0"/>
    <cacheHierarchy uniqueName="[Hospital Emergency Room Data].[Patient Race]" caption="Patient Race" attribute="1" defaultMemberUniqueName="[Hospital Emergency Room Data].[Patient Race].[All]" allUniqueName="[Hospital Emergency Room Data].[Patient Race].[All]" dimensionUniqueName="[Hospital Emergency Room Data]" displayFolder="" count="0" memberValueDatatype="130" unbalanced="0"/>
    <cacheHierarchy uniqueName="[Hospital Emergency Room Data].[Department Referral]" caption="Department Referral" attribute="1" defaultMemberUniqueName="[Hospital Emergency Room Data].[Department Referral].[All]" allUniqueName="[Hospital Emergency Room Data].[Department Referral].[All]" dimensionUniqueName="[Hospital Emergency Room Data]" displayFolder="" count="0" memberValueDatatype="130" unbalanced="0"/>
    <cacheHierarchy uniqueName="[Hospital Emergency Room Data].[Patient Admission Flag]" caption="Patient Admission Flag" attribute="1" defaultMemberUniqueName="[Hospital Emergency Room Data].[Patient Admission Flag].[All]" allUniqueName="[Hospital Emergency Room Data].[Patient Admission Flag].[All]" dimensionUniqueName="[Hospital Emergency Room Data]" displayFolder="" count="0" memberValueDatatype="130" unbalanced="0"/>
    <cacheHierarchy uniqueName="[Hospital Emergency Room Data].[Patient Satisfaction Score]" caption="Patient Satisfaction Score" attribute="1" defaultMemberUniqueName="[Hospital Emergency Room Data].[Patient Satisfaction Score].[All]" allUniqueName="[Hospital Emergency Room Data].[Patient Satisfaction Score].[All]" dimensionUniqueName="[Hospital Emergency Room Data]" displayFolder="" count="0" memberValueDatatype="20" unbalanced="0"/>
    <cacheHierarchy uniqueName="[Hospital Emergency Room Data].[Patient Waittime]" caption="Patient Waittime" attribute="1" defaultMemberUniqueName="[Hospital Emergency Room Data].[Patient Waittime].[All]" allUniqueName="[Hospital Emergency Room Data].[Patient Waittime].[All]" dimensionUniqueName="[Hospital Emergency Room Data]" displayFolder="" count="0" memberValueDatatype="20" unbalanced="0"/>
    <cacheHierarchy uniqueName="[Hospital Emergency Room Data].[Age-Group]" caption="Age-Group" attribute="1" defaultMemberUniqueName="[Hospital Emergency Room Data].[Age-Group].[All]" allUniqueName="[Hospital Emergency Room Data].[Age-Group].[All]" dimensionUniqueName="[Hospital Emergency Room Data]" displayFolder="" count="0" memberValueDatatype="130" unbalanced="0"/>
    <cacheHierarchy uniqueName="[Hospital Emergency Room Data].[Patient Attend Status]" caption="Patient Attend Status" attribute="1" defaultMemberUniqueName="[Hospital Emergency Room Data].[Patient Attend Status].[All]" allUniqueName="[Hospital Emergency Room Data].[Patient Attend Status].[All]" dimensionUniqueName="[Hospital Emergency Room Data]" displayFolder="" count="0" memberValueDatatype="130" unbalanced="0"/>
    <cacheHierarchy uniqueName="[Calender_Table].[Date (Day Index)]" caption="Date (Day Index)" attribute="1" defaultMemberUniqueName="[Calender_Table].[Date (Day Index)].[All]" allUniqueName="[Calender_Table].[Date (Day Index)].[All]" dimensionUniqueName="[Calender_Table]" displayFolder="" count="0" memberValueDatatype="5" unbalanced="0" hidden="1"/>
    <cacheHierarchy uniqueName="[Calender_Table].[Date (Month Index)]" caption="Date (Month Index)" attribute="1" defaultMemberUniqueName="[Calender_Table].[Date (Month Index)].[All]" allUniqueName="[Calender_Table].[Date (Month Index)].[All]" dimensionUniqueName="[Calender_Table]" displayFolder="" count="0" memberValueDatatype="20" unbalanced="0" hidden="1"/>
    <cacheHierarchy uniqueName="[Measures].[__XL_Count Hospital Emergency Room Data]" caption="__XL_Count Hospital Emergency Room Data" measure="1" displayFolder="" measureGroup="Hospital Emergency Room Data" count="0" hidden="1"/>
    <cacheHierarchy uniqueName="[Measures].[__XL_Count Calender_Table]" caption="__XL_Count Calender_Table" measure="1" displayFolder="" measureGroup="Calender_Table" count="0" hidden="1"/>
    <cacheHierarchy uniqueName="[Measures].[__No measures defined]" caption="__No measures defined" measure="1" displayFolder="" count="0" hidden="1"/>
    <cacheHierarchy uniqueName="[Measures].[Count of Patient Id]" caption="Count of Patient Id" measure="1" displayFolder="" measureGroup="Hospital Emergency Room Data" count="0" hidden="1">
      <extLst>
        <ext xmlns:x15="http://schemas.microsoft.com/office/spreadsheetml/2010/11/main" uri="{B97F6D7D-B522-45F9-BDA1-12C45D357490}">
          <x15:cacheHierarchy aggregatedColumn="5"/>
        </ext>
      </extLst>
    </cacheHierarchy>
    <cacheHierarchy uniqueName="[Measures].[Distinct Count of Patient Id]" caption="Distinct Count of Patient Id" measure="1" displayFolder="" measureGroup="Hospital Emergency Room Data" count="0" hidden="1">
      <extLst>
        <ext xmlns:x15="http://schemas.microsoft.com/office/spreadsheetml/2010/11/main" uri="{B97F6D7D-B522-45F9-BDA1-12C45D357490}">
          <x15:cacheHierarchy aggregatedColumn="5"/>
        </ext>
      </extLst>
    </cacheHierarchy>
    <cacheHierarchy uniqueName="[Measures].[Sum of Patient Waittime]" caption="Sum of Patient Waittim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Average of Patient Waittime]" caption="Average of Patient Waittime" measure="1" displayFolder="" measureGroup="Hospital Emergency Room Data" count="0" oneField="1" hidden="1">
      <fieldsUsage count="1">
        <fieldUsage x="0"/>
      </fieldsUsage>
      <extLst>
        <ext xmlns:x15="http://schemas.microsoft.com/office/spreadsheetml/2010/11/main" uri="{B97F6D7D-B522-45F9-BDA1-12C45D357490}">
          <x15:cacheHierarchy aggregatedColumn="15"/>
        </ext>
      </extLst>
    </cacheHierarchy>
    <cacheHierarchy uniqueName="[Measures].[Sum of Patient Satisfaction Score]" caption="Sum of Patient Satisfaction Scor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Average of Patient Satisfaction Score]" caption="Average of Patient Satisfaction Scor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Count of Patient Admission Flag]" caption="Count of Patient Admission Flag" measure="1" displayFolder="" measureGroup="Hospital Emergency Room Data" count="0" hidden="1">
      <extLst>
        <ext xmlns:x15="http://schemas.microsoft.com/office/spreadsheetml/2010/11/main" uri="{B97F6D7D-B522-45F9-BDA1-12C45D357490}">
          <x15:cacheHierarchy aggregatedColumn="13"/>
        </ext>
      </extLst>
    </cacheHierarchy>
    <cacheHierarchy uniqueName="[Measures].[Count of Patient Attend Status]" caption="Count of Patient Attend Status" measure="1" displayFolder="" measureGroup="Hospital Emergency Room Data" count="0" hidden="1">
      <extLst>
        <ext xmlns:x15="http://schemas.microsoft.com/office/spreadsheetml/2010/11/main" uri="{B97F6D7D-B522-45F9-BDA1-12C45D357490}">
          <x15:cacheHierarchy aggregatedColumn="17"/>
        </ext>
      </extLst>
    </cacheHierarchy>
    <cacheHierarchy uniqueName="[Measures].[Count of Age-Group]" caption="Count of Age-Group" measure="1" displayFolder="" measureGroup="Hospital Emergency Room Data" count="0" hidden="1">
      <extLst>
        <ext xmlns:x15="http://schemas.microsoft.com/office/spreadsheetml/2010/11/main" uri="{B97F6D7D-B522-45F9-BDA1-12C45D357490}">
          <x15:cacheHierarchy aggregatedColumn="16"/>
        </ext>
      </extLst>
    </cacheHierarchy>
    <cacheHierarchy uniqueName="[Measures].[Count of Patient Waittime]" caption="Count of Patient Waittim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Count of Patient Gender]" caption="Count of Patient Gender" measure="1" displayFolder="" measureGroup="Hospital Emergency Room Data" count="0" hidden="1">
      <extLst>
        <ext xmlns:x15="http://schemas.microsoft.com/office/spreadsheetml/2010/11/main" uri="{B97F6D7D-B522-45F9-BDA1-12C45D357490}">
          <x15:cacheHierarchy aggregatedColumn="9"/>
        </ext>
      </extLst>
    </cacheHierarchy>
    <cacheHierarchy uniqueName="[Measures].[Count of Department Referral]" caption="Count of Department Referral" measure="1" displayFolder="" measureGroup="Hospital Emergency Room Data" count="0" hidden="1">
      <extLst>
        <ext xmlns:x15="http://schemas.microsoft.com/office/spreadsheetml/2010/11/main" uri="{B97F6D7D-B522-45F9-BDA1-12C45D357490}">
          <x15:cacheHierarchy aggregatedColumn="12"/>
        </ext>
      </extLst>
    </cacheHierarchy>
  </cacheHierarchies>
  <kpis count="0"/>
  <dimensions count="3">
    <dimension name="Calender_Table" uniqueName="[Calender_Table]" caption="Calender_Table"/>
    <dimension name="Hospital Emergency Room Data" uniqueName="[Hospital Emergency Room Data]" caption="Hospital Emergency Room Data"/>
    <dimension measure="1" name="Measures" uniqueName="[Measures]" caption="Measures"/>
  </dimensions>
  <measureGroups count="2">
    <measureGroup name="Calender_Table" caption="Calender_Table"/>
    <measureGroup name="Hospital Emergency Room Data" caption="Hospital Emergency Room Data"/>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SUS" refreshedDate="46008.882247685186" createdVersion="5" refreshedVersion="8" minRefreshableVersion="3" recordCount="0" supportSubquery="1" supportAdvancedDrill="1" xr:uid="{9D3AB2C6-752F-4F39-B5D4-00D32B93DFC5}">
  <cacheSource type="external" connectionId="3"/>
  <cacheFields count="3">
    <cacheField name="[Measures].[Average of Patient Satisfaction Score]" caption="Average of Patient Satisfaction Score" numFmtId="0" hierarchy="28" level="32767"/>
    <cacheField name="[Calender_Table].[Date (Month)].[Date (Month)]" caption="Date (Month)" numFmtId="0" hierarchy="1" level="1">
      <sharedItems containsSemiMixedTypes="0" containsNonDate="0" containsString="0"/>
    </cacheField>
    <cacheField name="[Calender_Table].[Date (Year)].[Date (Year)]" caption="Date (Year)" numFmtId="0" hierarchy="3" level="1">
      <sharedItems containsSemiMixedTypes="0" containsNonDate="0" containsString="0"/>
    </cacheField>
  </cacheFields>
  <cacheHierarchies count="35">
    <cacheHierarchy uniqueName="[Calender_Table].[Date]" caption="Date" attribute="1" time="1" defaultMemberUniqueName="[Calender_Table].[Date].[All]" allUniqueName="[Calender_Table].[Date].[All]" dimensionUniqueName="[Calender_Table]" displayFolder="" count="0" memberValueDatatype="7" unbalanced="0"/>
    <cacheHierarchy uniqueName="[Calender_Table].[Date (Month)]" caption="Date (Month)" attribute="1" defaultMemberUniqueName="[Calender_Table].[Date (Month)].[All]" allUniqueName="[Calender_Table].[Date (Month)].[All]" dimensionUniqueName="[Calender_Table]" displayFolder="" count="2" memberValueDatatype="130" unbalanced="0">
      <fieldsUsage count="2">
        <fieldUsage x="-1"/>
        <fieldUsage x="1"/>
      </fieldsUsage>
    </cacheHierarchy>
    <cacheHierarchy uniqueName="[Calender_Table].[Date (Day)]" caption="Date (Day)" attribute="1" defaultMemberUniqueName="[Calender_Table].[Date (Day)].[All]" allUniqueName="[Calender_Table].[Date (Day)].[All]" dimensionUniqueName="[Calender_Table]" displayFolder="" count="0" memberValueDatatype="130" unbalanced="0"/>
    <cacheHierarchy uniqueName="[Calender_Table].[Date (Year)]" caption="Date (Year)" attribute="1" defaultMemberUniqueName="[Calender_Table].[Date (Year)].[All]" allUniqueName="[Calender_Table].[Date (Year)].[All]" dimensionUniqueName="[Calender_Table]" displayFolder="" count="2" memberValueDatatype="130" unbalanced="0">
      <fieldsUsage count="2">
        <fieldUsage x="-1"/>
        <fieldUsage x="2"/>
      </fieldsUsage>
    </cacheHierarchy>
    <cacheHierarchy uniqueName="[Calender_Table].[Date (Quarter)]" caption="Date (Quarter)" attribute="1" defaultMemberUniqueName="[Calender_Table].[Date (Quarter)].[All]" allUniqueName="[Calender_Table].[Date (Quarter)].[All]" dimensionUniqueName="[Calender_Table]" displayFolder="" count="0" memberValueDatatype="130" unbalanced="0"/>
    <cacheHierarchy uniqueName="[Hospital Emergency Room Data].[Patient Id]" caption="Patient Id" attribute="1" defaultMemberUniqueName="[Hospital Emergency Room Data].[Patient Id].[All]" allUniqueName="[Hospital Emergency Room Data].[Patient Id].[All]" dimensionUniqueName="[Hospital Emergency Room Data]" displayFolder="" count="0" memberValueDatatype="130" unbalanced="0"/>
    <cacheHierarchy uniqueName="[Hospital Emergency Room Data].[Patient Admission Date]" caption="Patient Admission Date" attribute="1" time="1" defaultMemberUniqueName="[Hospital Emergency Room Data].[Patient Admission Date].[All]" allUniqueName="[Hospital Emergency Room Data].[Patient Admission Date].[All]" dimensionUniqueName="[Hospital Emergency Room Data]" displayFolder="" count="0" memberValueDatatype="7" unbalanced="0"/>
    <cacheHierarchy uniqueName="[Hospital Emergency Room Data].[Patient Admission Time]" caption="Patient Admission Time" attribute="1" time="1" defaultMemberUniqueName="[Hospital Emergency Room Data].[Patient Admission Time].[All]" allUniqueName="[Hospital Emergency Room Data].[Patient Admission Time].[All]" dimensionUniqueName="[Hospital Emergency Room Data]" displayFolder="" count="0" memberValueDatatype="7" unbalanced="0"/>
    <cacheHierarchy uniqueName="[Hospital Emergency Room Data].[Merged]" caption="Merged" attribute="1" defaultMemberUniqueName="[Hospital Emergency Room Data].[Merged].[All]" allUniqueName="[Hospital Emergency Room Data].[Merged].[All]" dimensionUniqueName="[Hospital Emergency Room Data]" displayFolder="" count="0" memberValueDatatype="130" unbalanced="0"/>
    <cacheHierarchy uniqueName="[Hospital Emergency Room Data].[Patient Gender]" caption="Patient Gender" attribute="1" defaultMemberUniqueName="[Hospital Emergency Room Data].[Patient Gender].[All]" allUniqueName="[Hospital Emergency Room Data].[Patient Gender].[All]" dimensionUniqueName="[Hospital Emergency Room Data]" displayFolder="" count="0" memberValueDatatype="130" unbalanced="0"/>
    <cacheHierarchy uniqueName="[Hospital Emergency Room Data].[Patient Age]" caption="Patient Age" attribute="1" defaultMemberUniqueName="[Hospital Emergency Room Data].[Patient Age].[All]" allUniqueName="[Hospital Emergency Room Data].[Patient Age].[All]" dimensionUniqueName="[Hospital Emergency Room Data]" displayFolder="" count="0" memberValueDatatype="20" unbalanced="0"/>
    <cacheHierarchy uniqueName="[Hospital Emergency Room Data].[Patient Race]" caption="Patient Race" attribute="1" defaultMemberUniqueName="[Hospital Emergency Room Data].[Patient Race].[All]" allUniqueName="[Hospital Emergency Room Data].[Patient Race].[All]" dimensionUniqueName="[Hospital Emergency Room Data]" displayFolder="" count="0" memberValueDatatype="130" unbalanced="0"/>
    <cacheHierarchy uniqueName="[Hospital Emergency Room Data].[Department Referral]" caption="Department Referral" attribute="1" defaultMemberUniqueName="[Hospital Emergency Room Data].[Department Referral].[All]" allUniqueName="[Hospital Emergency Room Data].[Department Referral].[All]" dimensionUniqueName="[Hospital Emergency Room Data]" displayFolder="" count="0" memberValueDatatype="130" unbalanced="0"/>
    <cacheHierarchy uniqueName="[Hospital Emergency Room Data].[Patient Admission Flag]" caption="Patient Admission Flag" attribute="1" defaultMemberUniqueName="[Hospital Emergency Room Data].[Patient Admission Flag].[All]" allUniqueName="[Hospital Emergency Room Data].[Patient Admission Flag].[All]" dimensionUniqueName="[Hospital Emergency Room Data]" displayFolder="" count="0" memberValueDatatype="130" unbalanced="0"/>
    <cacheHierarchy uniqueName="[Hospital Emergency Room Data].[Patient Satisfaction Score]" caption="Patient Satisfaction Score" attribute="1" defaultMemberUniqueName="[Hospital Emergency Room Data].[Patient Satisfaction Score].[All]" allUniqueName="[Hospital Emergency Room Data].[Patient Satisfaction Score].[All]" dimensionUniqueName="[Hospital Emergency Room Data]" displayFolder="" count="0" memberValueDatatype="20" unbalanced="0"/>
    <cacheHierarchy uniqueName="[Hospital Emergency Room Data].[Patient Waittime]" caption="Patient Waittime" attribute="1" defaultMemberUniqueName="[Hospital Emergency Room Data].[Patient Waittime].[All]" allUniqueName="[Hospital Emergency Room Data].[Patient Waittime].[All]" dimensionUniqueName="[Hospital Emergency Room Data]" displayFolder="" count="0" memberValueDatatype="20" unbalanced="0"/>
    <cacheHierarchy uniqueName="[Hospital Emergency Room Data].[Age-Group]" caption="Age-Group" attribute="1" defaultMemberUniqueName="[Hospital Emergency Room Data].[Age-Group].[All]" allUniqueName="[Hospital Emergency Room Data].[Age-Group].[All]" dimensionUniqueName="[Hospital Emergency Room Data]" displayFolder="" count="0" memberValueDatatype="130" unbalanced="0"/>
    <cacheHierarchy uniqueName="[Hospital Emergency Room Data].[Patient Attend Status]" caption="Patient Attend Status" attribute="1" defaultMemberUniqueName="[Hospital Emergency Room Data].[Patient Attend Status].[All]" allUniqueName="[Hospital Emergency Room Data].[Patient Attend Status].[All]" dimensionUniqueName="[Hospital Emergency Room Data]" displayFolder="" count="0" memberValueDatatype="130" unbalanced="0"/>
    <cacheHierarchy uniqueName="[Calender_Table].[Date (Day Index)]" caption="Date (Day Index)" attribute="1" defaultMemberUniqueName="[Calender_Table].[Date (Day Index)].[All]" allUniqueName="[Calender_Table].[Date (Day Index)].[All]" dimensionUniqueName="[Calender_Table]" displayFolder="" count="0" memberValueDatatype="5" unbalanced="0" hidden="1"/>
    <cacheHierarchy uniqueName="[Calender_Table].[Date (Month Index)]" caption="Date (Month Index)" attribute="1" defaultMemberUniqueName="[Calender_Table].[Date (Month Index)].[All]" allUniqueName="[Calender_Table].[Date (Month Index)].[All]" dimensionUniqueName="[Calender_Table]" displayFolder="" count="0" memberValueDatatype="20" unbalanced="0" hidden="1"/>
    <cacheHierarchy uniqueName="[Measures].[__XL_Count Hospital Emergency Room Data]" caption="__XL_Count Hospital Emergency Room Data" measure="1" displayFolder="" measureGroup="Hospital Emergency Room Data" count="0" hidden="1"/>
    <cacheHierarchy uniqueName="[Measures].[__XL_Count Calender_Table]" caption="__XL_Count Calender_Table" measure="1" displayFolder="" measureGroup="Calender_Table" count="0" hidden="1"/>
    <cacheHierarchy uniqueName="[Measures].[__No measures defined]" caption="__No measures defined" measure="1" displayFolder="" count="0" hidden="1"/>
    <cacheHierarchy uniqueName="[Measures].[Count of Patient Id]" caption="Count of Patient Id" measure="1" displayFolder="" measureGroup="Hospital Emergency Room Data" count="0" hidden="1">
      <extLst>
        <ext xmlns:x15="http://schemas.microsoft.com/office/spreadsheetml/2010/11/main" uri="{B97F6D7D-B522-45F9-BDA1-12C45D357490}">
          <x15:cacheHierarchy aggregatedColumn="5"/>
        </ext>
      </extLst>
    </cacheHierarchy>
    <cacheHierarchy uniqueName="[Measures].[Distinct Count of Patient Id]" caption="Distinct Count of Patient Id" measure="1" displayFolder="" measureGroup="Hospital Emergency Room Data" count="0" hidden="1">
      <extLst>
        <ext xmlns:x15="http://schemas.microsoft.com/office/spreadsheetml/2010/11/main" uri="{B97F6D7D-B522-45F9-BDA1-12C45D357490}">
          <x15:cacheHierarchy aggregatedColumn="5"/>
        </ext>
      </extLst>
    </cacheHierarchy>
    <cacheHierarchy uniqueName="[Measures].[Sum of Patient Waittime]" caption="Sum of Patient Waittim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Average of Patient Waittime]" caption="Average of Patient Waittim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Sum of Patient Satisfaction Score]" caption="Sum of Patient Satisfaction Scor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Average of Patient Satisfaction Score]" caption="Average of Patient Satisfaction Score" measure="1" displayFolder="" measureGroup="Hospital Emergency Room Data" count="0" oneField="1" hidden="1">
      <fieldsUsage count="1">
        <fieldUsage x="0"/>
      </fieldsUsage>
      <extLst>
        <ext xmlns:x15="http://schemas.microsoft.com/office/spreadsheetml/2010/11/main" uri="{B97F6D7D-B522-45F9-BDA1-12C45D357490}">
          <x15:cacheHierarchy aggregatedColumn="14"/>
        </ext>
      </extLst>
    </cacheHierarchy>
    <cacheHierarchy uniqueName="[Measures].[Count of Patient Admission Flag]" caption="Count of Patient Admission Flag" measure="1" displayFolder="" measureGroup="Hospital Emergency Room Data" count="0" hidden="1">
      <extLst>
        <ext xmlns:x15="http://schemas.microsoft.com/office/spreadsheetml/2010/11/main" uri="{B97F6D7D-B522-45F9-BDA1-12C45D357490}">
          <x15:cacheHierarchy aggregatedColumn="13"/>
        </ext>
      </extLst>
    </cacheHierarchy>
    <cacheHierarchy uniqueName="[Measures].[Count of Patient Attend Status]" caption="Count of Patient Attend Status" measure="1" displayFolder="" measureGroup="Hospital Emergency Room Data" count="0" hidden="1">
      <extLst>
        <ext xmlns:x15="http://schemas.microsoft.com/office/spreadsheetml/2010/11/main" uri="{B97F6D7D-B522-45F9-BDA1-12C45D357490}">
          <x15:cacheHierarchy aggregatedColumn="17"/>
        </ext>
      </extLst>
    </cacheHierarchy>
    <cacheHierarchy uniqueName="[Measures].[Count of Age-Group]" caption="Count of Age-Group" measure="1" displayFolder="" measureGroup="Hospital Emergency Room Data" count="0" hidden="1">
      <extLst>
        <ext xmlns:x15="http://schemas.microsoft.com/office/spreadsheetml/2010/11/main" uri="{B97F6D7D-B522-45F9-BDA1-12C45D357490}">
          <x15:cacheHierarchy aggregatedColumn="16"/>
        </ext>
      </extLst>
    </cacheHierarchy>
    <cacheHierarchy uniqueName="[Measures].[Count of Patient Waittime]" caption="Count of Patient Waittim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Count of Patient Gender]" caption="Count of Patient Gender" measure="1" displayFolder="" measureGroup="Hospital Emergency Room Data" count="0" hidden="1">
      <extLst>
        <ext xmlns:x15="http://schemas.microsoft.com/office/spreadsheetml/2010/11/main" uri="{B97F6D7D-B522-45F9-BDA1-12C45D357490}">
          <x15:cacheHierarchy aggregatedColumn="9"/>
        </ext>
      </extLst>
    </cacheHierarchy>
    <cacheHierarchy uniqueName="[Measures].[Count of Department Referral]" caption="Count of Department Referral" measure="1" displayFolder="" measureGroup="Hospital Emergency Room Data" count="0" hidden="1">
      <extLst>
        <ext xmlns:x15="http://schemas.microsoft.com/office/spreadsheetml/2010/11/main" uri="{B97F6D7D-B522-45F9-BDA1-12C45D357490}">
          <x15:cacheHierarchy aggregatedColumn="12"/>
        </ext>
      </extLst>
    </cacheHierarchy>
  </cacheHierarchies>
  <kpis count="0"/>
  <dimensions count="3">
    <dimension name="Calender_Table" uniqueName="[Calender_Table]" caption="Calender_Table"/>
    <dimension name="Hospital Emergency Room Data" uniqueName="[Hospital Emergency Room Data]" caption="Hospital Emergency Room Data"/>
    <dimension measure="1" name="Measures" uniqueName="[Measures]" caption="Measures"/>
  </dimensions>
  <measureGroups count="2">
    <measureGroup name="Calender_Table" caption="Calender_Table"/>
    <measureGroup name="Hospital Emergency Room Data" caption="Hospital Emergency Room Data"/>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SUS" refreshedDate="46008.882248148147" createdVersion="5" refreshedVersion="8" minRefreshableVersion="3" recordCount="0" supportSubquery="1" supportAdvancedDrill="1" xr:uid="{EAEC6478-252E-408D-9E6F-B44504064E73}">
  <cacheSource type="external" connectionId="3"/>
  <cacheFields count="4">
    <cacheField name="[Calender_Table].[Date (Day)].[Date (Day)]" caption="Date (Day)" numFmtId="0" hierarchy="2" level="1">
      <sharedItems count="30">
        <s v="1-Jun"/>
        <s v="2-Jun"/>
        <s v="3-Jun"/>
        <s v="4-Jun"/>
        <s v="5-Jun"/>
        <s v="6-Jun"/>
        <s v="7-Jun"/>
        <s v="8-Jun"/>
        <s v="9-Jun"/>
        <s v="10-Jun"/>
        <s v="11-Jun"/>
        <s v="12-Jun"/>
        <s v="13-Jun"/>
        <s v="14-Jun"/>
        <s v="15-Jun"/>
        <s v="16-Jun"/>
        <s v="17-Jun"/>
        <s v="18-Jun"/>
        <s v="19-Jun"/>
        <s v="20-Jun"/>
        <s v="21-Jun"/>
        <s v="22-Jun"/>
        <s v="23-Jun"/>
        <s v="24-Jun"/>
        <s v="25-Jun"/>
        <s v="26-Jun"/>
        <s v="27-Jun"/>
        <s v="28-Jun"/>
        <s v="29-Jun"/>
        <s v="30-Jun"/>
      </sharedItems>
    </cacheField>
    <cacheField name="[Calender_Table].[Date (Month)].[Date (Month)]" caption="Date (Month)" numFmtId="0" hierarchy="1" level="1">
      <sharedItems containsSemiMixedTypes="0" containsNonDate="0" containsString="0"/>
    </cacheField>
    <cacheField name="[Measures].[Average of Patient Waittime]" caption="Average of Patient Waittime" numFmtId="0" hierarchy="26" level="32767"/>
    <cacheField name="[Calender_Table].[Date (Year)].[Date (Year)]" caption="Date (Year)" numFmtId="0" hierarchy="3" level="1">
      <sharedItems containsSemiMixedTypes="0" containsNonDate="0" containsString="0"/>
    </cacheField>
  </cacheFields>
  <cacheHierarchies count="35">
    <cacheHierarchy uniqueName="[Calender_Table].[Date]" caption="Date" attribute="1" time="1" defaultMemberUniqueName="[Calender_Table].[Date].[All]" allUniqueName="[Calender_Table].[Date].[All]" dimensionUniqueName="[Calender_Table]" displayFolder="" count="0" memberValueDatatype="7" unbalanced="0"/>
    <cacheHierarchy uniqueName="[Calender_Table].[Date (Month)]" caption="Date (Month)" attribute="1" defaultMemberUniqueName="[Calender_Table].[Date (Month)].[All]" allUniqueName="[Calender_Table].[Date (Month)].[All]" dimensionUniqueName="[Calender_Table]" displayFolder="" count="2" memberValueDatatype="130" unbalanced="0">
      <fieldsUsage count="2">
        <fieldUsage x="-1"/>
        <fieldUsage x="1"/>
      </fieldsUsage>
    </cacheHierarchy>
    <cacheHierarchy uniqueName="[Calender_Table].[Date (Day)]" caption="Date (Day)" attribute="1" defaultMemberUniqueName="[Calender_Table].[Date (Day)].[All]" allUniqueName="[Calender_Table].[Date (Day)].[All]" dimensionUniqueName="[Calender_Table]" displayFolder="" count="2" memberValueDatatype="130" unbalanced="0">
      <fieldsUsage count="2">
        <fieldUsage x="-1"/>
        <fieldUsage x="0"/>
      </fieldsUsage>
    </cacheHierarchy>
    <cacheHierarchy uniqueName="[Calender_Table].[Date (Year)]" caption="Date (Year)" attribute="1" defaultMemberUniqueName="[Calender_Table].[Date (Year)].[All]" allUniqueName="[Calender_Table].[Date (Year)].[All]" dimensionUniqueName="[Calender_Table]" displayFolder="" count="2" memberValueDatatype="130" unbalanced="0">
      <fieldsUsage count="2">
        <fieldUsage x="-1"/>
        <fieldUsage x="3"/>
      </fieldsUsage>
    </cacheHierarchy>
    <cacheHierarchy uniqueName="[Calender_Table].[Date (Quarter)]" caption="Date (Quarter)" attribute="1" defaultMemberUniqueName="[Calender_Table].[Date (Quarter)].[All]" allUniqueName="[Calender_Table].[Date (Quarter)].[All]" dimensionUniqueName="[Calender_Table]" displayFolder="" count="0" memberValueDatatype="130" unbalanced="0"/>
    <cacheHierarchy uniqueName="[Hospital Emergency Room Data].[Patient Id]" caption="Patient Id" attribute="1" defaultMemberUniqueName="[Hospital Emergency Room Data].[Patient Id].[All]" allUniqueName="[Hospital Emergency Room Data].[Patient Id].[All]" dimensionUniqueName="[Hospital Emergency Room Data]" displayFolder="" count="0" memberValueDatatype="130" unbalanced="0"/>
    <cacheHierarchy uniqueName="[Hospital Emergency Room Data].[Patient Admission Date]" caption="Patient Admission Date" attribute="1" time="1" defaultMemberUniqueName="[Hospital Emergency Room Data].[Patient Admission Date].[All]" allUniqueName="[Hospital Emergency Room Data].[Patient Admission Date].[All]" dimensionUniqueName="[Hospital Emergency Room Data]" displayFolder="" count="0" memberValueDatatype="7" unbalanced="0"/>
    <cacheHierarchy uniqueName="[Hospital Emergency Room Data].[Patient Admission Time]" caption="Patient Admission Time" attribute="1" time="1" defaultMemberUniqueName="[Hospital Emergency Room Data].[Patient Admission Time].[All]" allUniqueName="[Hospital Emergency Room Data].[Patient Admission Time].[All]" dimensionUniqueName="[Hospital Emergency Room Data]" displayFolder="" count="0" memberValueDatatype="7" unbalanced="0"/>
    <cacheHierarchy uniqueName="[Hospital Emergency Room Data].[Merged]" caption="Merged" attribute="1" defaultMemberUniqueName="[Hospital Emergency Room Data].[Merged].[All]" allUniqueName="[Hospital Emergency Room Data].[Merged].[All]" dimensionUniqueName="[Hospital Emergency Room Data]" displayFolder="" count="0" memberValueDatatype="130" unbalanced="0"/>
    <cacheHierarchy uniqueName="[Hospital Emergency Room Data].[Patient Gender]" caption="Patient Gender" attribute="1" defaultMemberUniqueName="[Hospital Emergency Room Data].[Patient Gender].[All]" allUniqueName="[Hospital Emergency Room Data].[Patient Gender].[All]" dimensionUniqueName="[Hospital Emergency Room Data]" displayFolder="" count="0" memberValueDatatype="130" unbalanced="0"/>
    <cacheHierarchy uniqueName="[Hospital Emergency Room Data].[Patient Age]" caption="Patient Age" attribute="1" defaultMemberUniqueName="[Hospital Emergency Room Data].[Patient Age].[All]" allUniqueName="[Hospital Emergency Room Data].[Patient Age].[All]" dimensionUniqueName="[Hospital Emergency Room Data]" displayFolder="" count="0" memberValueDatatype="20" unbalanced="0"/>
    <cacheHierarchy uniqueName="[Hospital Emergency Room Data].[Patient Race]" caption="Patient Race" attribute="1" defaultMemberUniqueName="[Hospital Emergency Room Data].[Patient Race].[All]" allUniqueName="[Hospital Emergency Room Data].[Patient Race].[All]" dimensionUniqueName="[Hospital Emergency Room Data]" displayFolder="" count="0" memberValueDatatype="130" unbalanced="0"/>
    <cacheHierarchy uniqueName="[Hospital Emergency Room Data].[Department Referral]" caption="Department Referral" attribute="1" defaultMemberUniqueName="[Hospital Emergency Room Data].[Department Referral].[All]" allUniqueName="[Hospital Emergency Room Data].[Department Referral].[All]" dimensionUniqueName="[Hospital Emergency Room Data]" displayFolder="" count="0" memberValueDatatype="130" unbalanced="0"/>
    <cacheHierarchy uniqueName="[Hospital Emergency Room Data].[Patient Admission Flag]" caption="Patient Admission Flag" attribute="1" defaultMemberUniqueName="[Hospital Emergency Room Data].[Patient Admission Flag].[All]" allUniqueName="[Hospital Emergency Room Data].[Patient Admission Flag].[All]" dimensionUniqueName="[Hospital Emergency Room Data]" displayFolder="" count="0" memberValueDatatype="130" unbalanced="0"/>
    <cacheHierarchy uniqueName="[Hospital Emergency Room Data].[Patient Satisfaction Score]" caption="Patient Satisfaction Score" attribute="1" defaultMemberUniqueName="[Hospital Emergency Room Data].[Patient Satisfaction Score].[All]" allUniqueName="[Hospital Emergency Room Data].[Patient Satisfaction Score].[All]" dimensionUniqueName="[Hospital Emergency Room Data]" displayFolder="" count="0" memberValueDatatype="20" unbalanced="0"/>
    <cacheHierarchy uniqueName="[Hospital Emergency Room Data].[Patient Waittime]" caption="Patient Waittime" attribute="1" defaultMemberUniqueName="[Hospital Emergency Room Data].[Patient Waittime].[All]" allUniqueName="[Hospital Emergency Room Data].[Patient Waittime].[All]" dimensionUniqueName="[Hospital Emergency Room Data]" displayFolder="" count="0" memberValueDatatype="20" unbalanced="0"/>
    <cacheHierarchy uniqueName="[Hospital Emergency Room Data].[Age-Group]" caption="Age-Group" attribute="1" defaultMemberUniqueName="[Hospital Emergency Room Data].[Age-Group].[All]" allUniqueName="[Hospital Emergency Room Data].[Age-Group].[All]" dimensionUniqueName="[Hospital Emergency Room Data]" displayFolder="" count="0" memberValueDatatype="130" unbalanced="0"/>
    <cacheHierarchy uniqueName="[Hospital Emergency Room Data].[Patient Attend Status]" caption="Patient Attend Status" attribute="1" defaultMemberUniqueName="[Hospital Emergency Room Data].[Patient Attend Status].[All]" allUniqueName="[Hospital Emergency Room Data].[Patient Attend Status].[All]" dimensionUniqueName="[Hospital Emergency Room Data]" displayFolder="" count="0" memberValueDatatype="130" unbalanced="0"/>
    <cacheHierarchy uniqueName="[Calender_Table].[Date (Day Index)]" caption="Date (Day Index)" attribute="1" defaultMemberUniqueName="[Calender_Table].[Date (Day Index)].[All]" allUniqueName="[Calender_Table].[Date (Day Index)].[All]" dimensionUniqueName="[Calender_Table]" displayFolder="" count="0" memberValueDatatype="5" unbalanced="0" hidden="1"/>
    <cacheHierarchy uniqueName="[Calender_Table].[Date (Month Index)]" caption="Date (Month Index)" attribute="1" defaultMemberUniqueName="[Calender_Table].[Date (Month Index)].[All]" allUniqueName="[Calender_Table].[Date (Month Index)].[All]" dimensionUniqueName="[Calender_Table]" displayFolder="" count="0" memberValueDatatype="20" unbalanced="0" hidden="1"/>
    <cacheHierarchy uniqueName="[Measures].[__XL_Count Hospital Emergency Room Data]" caption="__XL_Count Hospital Emergency Room Data" measure="1" displayFolder="" measureGroup="Hospital Emergency Room Data" count="0" hidden="1"/>
    <cacheHierarchy uniqueName="[Measures].[__XL_Count Calender_Table]" caption="__XL_Count Calender_Table" measure="1" displayFolder="" measureGroup="Calender_Table" count="0" hidden="1"/>
    <cacheHierarchy uniqueName="[Measures].[__No measures defined]" caption="__No measures defined" measure="1" displayFolder="" count="0" hidden="1"/>
    <cacheHierarchy uniqueName="[Measures].[Count of Patient Id]" caption="Count of Patient Id" measure="1" displayFolder="" measureGroup="Hospital Emergency Room Data" count="0" hidden="1">
      <extLst>
        <ext xmlns:x15="http://schemas.microsoft.com/office/spreadsheetml/2010/11/main" uri="{B97F6D7D-B522-45F9-BDA1-12C45D357490}">
          <x15:cacheHierarchy aggregatedColumn="5"/>
        </ext>
      </extLst>
    </cacheHierarchy>
    <cacheHierarchy uniqueName="[Measures].[Distinct Count of Patient Id]" caption="Distinct Count of Patient Id" measure="1" displayFolder="" measureGroup="Hospital Emergency Room Data" count="0" hidden="1">
      <extLst>
        <ext xmlns:x15="http://schemas.microsoft.com/office/spreadsheetml/2010/11/main" uri="{B97F6D7D-B522-45F9-BDA1-12C45D357490}">
          <x15:cacheHierarchy aggregatedColumn="5"/>
        </ext>
      </extLst>
    </cacheHierarchy>
    <cacheHierarchy uniqueName="[Measures].[Sum of Patient Waittime]" caption="Sum of Patient Waittim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Average of Patient Waittime]" caption="Average of Patient Waittime" measure="1" displayFolder="" measureGroup="Hospital Emergency Room Data" count="0" oneField="1" hidden="1">
      <fieldsUsage count="1">
        <fieldUsage x="2"/>
      </fieldsUsage>
      <extLst>
        <ext xmlns:x15="http://schemas.microsoft.com/office/spreadsheetml/2010/11/main" uri="{B97F6D7D-B522-45F9-BDA1-12C45D357490}">
          <x15:cacheHierarchy aggregatedColumn="15"/>
        </ext>
      </extLst>
    </cacheHierarchy>
    <cacheHierarchy uniqueName="[Measures].[Sum of Patient Satisfaction Score]" caption="Sum of Patient Satisfaction Scor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Average of Patient Satisfaction Score]" caption="Average of Patient Satisfaction Scor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Count of Patient Admission Flag]" caption="Count of Patient Admission Flag" measure="1" displayFolder="" measureGroup="Hospital Emergency Room Data" count="0" hidden="1">
      <extLst>
        <ext xmlns:x15="http://schemas.microsoft.com/office/spreadsheetml/2010/11/main" uri="{B97F6D7D-B522-45F9-BDA1-12C45D357490}">
          <x15:cacheHierarchy aggregatedColumn="13"/>
        </ext>
      </extLst>
    </cacheHierarchy>
    <cacheHierarchy uniqueName="[Measures].[Count of Patient Attend Status]" caption="Count of Patient Attend Status" measure="1" displayFolder="" measureGroup="Hospital Emergency Room Data" count="0" hidden="1">
      <extLst>
        <ext xmlns:x15="http://schemas.microsoft.com/office/spreadsheetml/2010/11/main" uri="{B97F6D7D-B522-45F9-BDA1-12C45D357490}">
          <x15:cacheHierarchy aggregatedColumn="17"/>
        </ext>
      </extLst>
    </cacheHierarchy>
    <cacheHierarchy uniqueName="[Measures].[Count of Age-Group]" caption="Count of Age-Group" measure="1" displayFolder="" measureGroup="Hospital Emergency Room Data" count="0" hidden="1">
      <extLst>
        <ext xmlns:x15="http://schemas.microsoft.com/office/spreadsheetml/2010/11/main" uri="{B97F6D7D-B522-45F9-BDA1-12C45D357490}">
          <x15:cacheHierarchy aggregatedColumn="16"/>
        </ext>
      </extLst>
    </cacheHierarchy>
    <cacheHierarchy uniqueName="[Measures].[Count of Patient Waittime]" caption="Count of Patient Waittim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Count of Patient Gender]" caption="Count of Patient Gender" measure="1" displayFolder="" measureGroup="Hospital Emergency Room Data" count="0" hidden="1">
      <extLst>
        <ext xmlns:x15="http://schemas.microsoft.com/office/spreadsheetml/2010/11/main" uri="{B97F6D7D-B522-45F9-BDA1-12C45D357490}">
          <x15:cacheHierarchy aggregatedColumn="9"/>
        </ext>
      </extLst>
    </cacheHierarchy>
    <cacheHierarchy uniqueName="[Measures].[Count of Department Referral]" caption="Count of Department Referral" measure="1" displayFolder="" measureGroup="Hospital Emergency Room Data" count="0" hidden="1">
      <extLst>
        <ext xmlns:x15="http://schemas.microsoft.com/office/spreadsheetml/2010/11/main" uri="{B97F6D7D-B522-45F9-BDA1-12C45D357490}">
          <x15:cacheHierarchy aggregatedColumn="12"/>
        </ext>
      </extLst>
    </cacheHierarchy>
  </cacheHierarchies>
  <kpis count="0"/>
  <dimensions count="3">
    <dimension name="Calender_Table" uniqueName="[Calender_Table]" caption="Calender_Table"/>
    <dimension name="Hospital Emergency Room Data" uniqueName="[Hospital Emergency Room Data]" caption="Hospital Emergency Room Data"/>
    <dimension measure="1" name="Measures" uniqueName="[Measures]" caption="Measures"/>
  </dimensions>
  <measureGroups count="2">
    <measureGroup name="Calender_Table" caption="Calender_Table"/>
    <measureGroup name="Hospital Emergency Room Data" caption="Hospital Emergency Room Data"/>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SUS" refreshedDate="46008.882248495371" createdVersion="5" refreshedVersion="8" minRefreshableVersion="3" recordCount="0" supportSubquery="1" supportAdvancedDrill="1" xr:uid="{ABC58F6D-0794-4ED1-9E66-AAE93B6FE52F}">
  <cacheSource type="external" connectionId="3"/>
  <cacheFields count="4">
    <cacheField name="[Calender_Table].[Date (Day)].[Date (Day)]" caption="Date (Day)" numFmtId="0" hierarchy="2" level="1">
      <sharedItems count="30">
        <s v="1-Jun"/>
        <s v="2-Jun"/>
        <s v="3-Jun"/>
        <s v="4-Jun"/>
        <s v="5-Jun"/>
        <s v="6-Jun"/>
        <s v="7-Jun"/>
        <s v="8-Jun"/>
        <s v="9-Jun"/>
        <s v="10-Jun"/>
        <s v="11-Jun"/>
        <s v="12-Jun"/>
        <s v="13-Jun"/>
        <s v="14-Jun"/>
        <s v="15-Jun"/>
        <s v="16-Jun"/>
        <s v="17-Jun"/>
        <s v="18-Jun"/>
        <s v="19-Jun"/>
        <s v="20-Jun"/>
        <s v="21-Jun"/>
        <s v="22-Jun"/>
        <s v="23-Jun"/>
        <s v="24-Jun"/>
        <s v="25-Jun"/>
        <s v="26-Jun"/>
        <s v="27-Jun"/>
        <s v="28-Jun"/>
        <s v="29-Jun"/>
        <s v="30-Jun"/>
      </sharedItems>
    </cacheField>
    <cacheField name="[Calender_Table].[Date (Month)].[Date (Month)]" caption="Date (Month)" numFmtId="0" hierarchy="1" level="1">
      <sharedItems containsSemiMixedTypes="0" containsNonDate="0" containsString="0"/>
    </cacheField>
    <cacheField name="[Measures].[Average of Patient Satisfaction Score]" caption="Average of Patient Satisfaction Score" numFmtId="0" hierarchy="28" level="32767"/>
    <cacheField name="[Calender_Table].[Date (Year)].[Date (Year)]" caption="Date (Year)" numFmtId="0" hierarchy="3" level="1">
      <sharedItems containsSemiMixedTypes="0" containsNonDate="0" containsString="0"/>
    </cacheField>
  </cacheFields>
  <cacheHierarchies count="35">
    <cacheHierarchy uniqueName="[Calender_Table].[Date]" caption="Date" attribute="1" time="1" defaultMemberUniqueName="[Calender_Table].[Date].[All]" allUniqueName="[Calender_Table].[Date].[All]" dimensionUniqueName="[Calender_Table]" displayFolder="" count="0" memberValueDatatype="7" unbalanced="0"/>
    <cacheHierarchy uniqueName="[Calender_Table].[Date (Month)]" caption="Date (Month)" attribute="1" defaultMemberUniqueName="[Calender_Table].[Date (Month)].[All]" allUniqueName="[Calender_Table].[Date (Month)].[All]" dimensionUniqueName="[Calender_Table]" displayFolder="" count="2" memberValueDatatype="130" unbalanced="0">
      <fieldsUsage count="2">
        <fieldUsage x="-1"/>
        <fieldUsage x="1"/>
      </fieldsUsage>
    </cacheHierarchy>
    <cacheHierarchy uniqueName="[Calender_Table].[Date (Day)]" caption="Date (Day)" attribute="1" defaultMemberUniqueName="[Calender_Table].[Date (Day)].[All]" allUniqueName="[Calender_Table].[Date (Day)].[All]" dimensionUniqueName="[Calender_Table]" displayFolder="" count="2" memberValueDatatype="130" unbalanced="0">
      <fieldsUsage count="2">
        <fieldUsage x="-1"/>
        <fieldUsage x="0"/>
      </fieldsUsage>
    </cacheHierarchy>
    <cacheHierarchy uniqueName="[Calender_Table].[Date (Year)]" caption="Date (Year)" attribute="1" defaultMemberUniqueName="[Calender_Table].[Date (Year)].[All]" allUniqueName="[Calender_Table].[Date (Year)].[All]" dimensionUniqueName="[Calender_Table]" displayFolder="" count="2" memberValueDatatype="130" unbalanced="0">
      <fieldsUsage count="2">
        <fieldUsage x="-1"/>
        <fieldUsage x="3"/>
      </fieldsUsage>
    </cacheHierarchy>
    <cacheHierarchy uniqueName="[Calender_Table].[Date (Quarter)]" caption="Date (Quarter)" attribute="1" defaultMemberUniqueName="[Calender_Table].[Date (Quarter)].[All]" allUniqueName="[Calender_Table].[Date (Quarter)].[All]" dimensionUniqueName="[Calender_Table]" displayFolder="" count="0" memberValueDatatype="130" unbalanced="0"/>
    <cacheHierarchy uniqueName="[Hospital Emergency Room Data].[Patient Id]" caption="Patient Id" attribute="1" defaultMemberUniqueName="[Hospital Emergency Room Data].[Patient Id].[All]" allUniqueName="[Hospital Emergency Room Data].[Patient Id].[All]" dimensionUniqueName="[Hospital Emergency Room Data]" displayFolder="" count="0" memberValueDatatype="130" unbalanced="0"/>
    <cacheHierarchy uniqueName="[Hospital Emergency Room Data].[Patient Admission Date]" caption="Patient Admission Date" attribute="1" time="1" defaultMemberUniqueName="[Hospital Emergency Room Data].[Patient Admission Date].[All]" allUniqueName="[Hospital Emergency Room Data].[Patient Admission Date].[All]" dimensionUniqueName="[Hospital Emergency Room Data]" displayFolder="" count="0" memberValueDatatype="7" unbalanced="0"/>
    <cacheHierarchy uniqueName="[Hospital Emergency Room Data].[Patient Admission Time]" caption="Patient Admission Time" attribute="1" time="1" defaultMemberUniqueName="[Hospital Emergency Room Data].[Patient Admission Time].[All]" allUniqueName="[Hospital Emergency Room Data].[Patient Admission Time].[All]" dimensionUniqueName="[Hospital Emergency Room Data]" displayFolder="" count="0" memberValueDatatype="7" unbalanced="0"/>
    <cacheHierarchy uniqueName="[Hospital Emergency Room Data].[Merged]" caption="Merged" attribute="1" defaultMemberUniqueName="[Hospital Emergency Room Data].[Merged].[All]" allUniqueName="[Hospital Emergency Room Data].[Merged].[All]" dimensionUniqueName="[Hospital Emergency Room Data]" displayFolder="" count="0" memberValueDatatype="130" unbalanced="0"/>
    <cacheHierarchy uniqueName="[Hospital Emergency Room Data].[Patient Gender]" caption="Patient Gender" attribute="1" defaultMemberUniqueName="[Hospital Emergency Room Data].[Patient Gender].[All]" allUniqueName="[Hospital Emergency Room Data].[Patient Gender].[All]" dimensionUniqueName="[Hospital Emergency Room Data]" displayFolder="" count="0" memberValueDatatype="130" unbalanced="0"/>
    <cacheHierarchy uniqueName="[Hospital Emergency Room Data].[Patient Age]" caption="Patient Age" attribute="1" defaultMemberUniqueName="[Hospital Emergency Room Data].[Patient Age].[All]" allUniqueName="[Hospital Emergency Room Data].[Patient Age].[All]" dimensionUniqueName="[Hospital Emergency Room Data]" displayFolder="" count="0" memberValueDatatype="20" unbalanced="0"/>
    <cacheHierarchy uniqueName="[Hospital Emergency Room Data].[Patient Race]" caption="Patient Race" attribute="1" defaultMemberUniqueName="[Hospital Emergency Room Data].[Patient Race].[All]" allUniqueName="[Hospital Emergency Room Data].[Patient Race].[All]" dimensionUniqueName="[Hospital Emergency Room Data]" displayFolder="" count="0" memberValueDatatype="130" unbalanced="0"/>
    <cacheHierarchy uniqueName="[Hospital Emergency Room Data].[Department Referral]" caption="Department Referral" attribute="1" defaultMemberUniqueName="[Hospital Emergency Room Data].[Department Referral].[All]" allUniqueName="[Hospital Emergency Room Data].[Department Referral].[All]" dimensionUniqueName="[Hospital Emergency Room Data]" displayFolder="" count="0" memberValueDatatype="130" unbalanced="0"/>
    <cacheHierarchy uniqueName="[Hospital Emergency Room Data].[Patient Admission Flag]" caption="Patient Admission Flag" attribute="1" defaultMemberUniqueName="[Hospital Emergency Room Data].[Patient Admission Flag].[All]" allUniqueName="[Hospital Emergency Room Data].[Patient Admission Flag].[All]" dimensionUniqueName="[Hospital Emergency Room Data]" displayFolder="" count="0" memberValueDatatype="130" unbalanced="0"/>
    <cacheHierarchy uniqueName="[Hospital Emergency Room Data].[Patient Satisfaction Score]" caption="Patient Satisfaction Score" attribute="1" defaultMemberUniqueName="[Hospital Emergency Room Data].[Patient Satisfaction Score].[All]" allUniqueName="[Hospital Emergency Room Data].[Patient Satisfaction Score].[All]" dimensionUniqueName="[Hospital Emergency Room Data]" displayFolder="" count="0" memberValueDatatype="20" unbalanced="0"/>
    <cacheHierarchy uniqueName="[Hospital Emergency Room Data].[Patient Waittime]" caption="Patient Waittime" attribute="1" defaultMemberUniqueName="[Hospital Emergency Room Data].[Patient Waittime].[All]" allUniqueName="[Hospital Emergency Room Data].[Patient Waittime].[All]" dimensionUniqueName="[Hospital Emergency Room Data]" displayFolder="" count="0" memberValueDatatype="20" unbalanced="0"/>
    <cacheHierarchy uniqueName="[Hospital Emergency Room Data].[Age-Group]" caption="Age-Group" attribute="1" defaultMemberUniqueName="[Hospital Emergency Room Data].[Age-Group].[All]" allUniqueName="[Hospital Emergency Room Data].[Age-Group].[All]" dimensionUniqueName="[Hospital Emergency Room Data]" displayFolder="" count="0" memberValueDatatype="130" unbalanced="0"/>
    <cacheHierarchy uniqueName="[Hospital Emergency Room Data].[Patient Attend Status]" caption="Patient Attend Status" attribute="1" defaultMemberUniqueName="[Hospital Emergency Room Data].[Patient Attend Status].[All]" allUniqueName="[Hospital Emergency Room Data].[Patient Attend Status].[All]" dimensionUniqueName="[Hospital Emergency Room Data]" displayFolder="" count="0" memberValueDatatype="130" unbalanced="0"/>
    <cacheHierarchy uniqueName="[Calender_Table].[Date (Day Index)]" caption="Date (Day Index)" attribute="1" defaultMemberUniqueName="[Calender_Table].[Date (Day Index)].[All]" allUniqueName="[Calender_Table].[Date (Day Index)].[All]" dimensionUniqueName="[Calender_Table]" displayFolder="" count="0" memberValueDatatype="5" unbalanced="0" hidden="1"/>
    <cacheHierarchy uniqueName="[Calender_Table].[Date (Month Index)]" caption="Date (Month Index)" attribute="1" defaultMemberUniqueName="[Calender_Table].[Date (Month Index)].[All]" allUniqueName="[Calender_Table].[Date (Month Index)].[All]" dimensionUniqueName="[Calender_Table]" displayFolder="" count="0" memberValueDatatype="20" unbalanced="0" hidden="1"/>
    <cacheHierarchy uniqueName="[Measures].[__XL_Count Hospital Emergency Room Data]" caption="__XL_Count Hospital Emergency Room Data" measure="1" displayFolder="" measureGroup="Hospital Emergency Room Data" count="0" hidden="1"/>
    <cacheHierarchy uniqueName="[Measures].[__XL_Count Calender_Table]" caption="__XL_Count Calender_Table" measure="1" displayFolder="" measureGroup="Calender_Table" count="0" hidden="1"/>
    <cacheHierarchy uniqueName="[Measures].[__No measures defined]" caption="__No measures defined" measure="1" displayFolder="" count="0" hidden="1"/>
    <cacheHierarchy uniqueName="[Measures].[Count of Patient Id]" caption="Count of Patient Id" measure="1" displayFolder="" measureGroup="Hospital Emergency Room Data" count="0" hidden="1">
      <extLst>
        <ext xmlns:x15="http://schemas.microsoft.com/office/spreadsheetml/2010/11/main" uri="{B97F6D7D-B522-45F9-BDA1-12C45D357490}">
          <x15:cacheHierarchy aggregatedColumn="5"/>
        </ext>
      </extLst>
    </cacheHierarchy>
    <cacheHierarchy uniqueName="[Measures].[Distinct Count of Patient Id]" caption="Distinct Count of Patient Id" measure="1" displayFolder="" measureGroup="Hospital Emergency Room Data" count="0" hidden="1">
      <extLst>
        <ext xmlns:x15="http://schemas.microsoft.com/office/spreadsheetml/2010/11/main" uri="{B97F6D7D-B522-45F9-BDA1-12C45D357490}">
          <x15:cacheHierarchy aggregatedColumn="5"/>
        </ext>
      </extLst>
    </cacheHierarchy>
    <cacheHierarchy uniqueName="[Measures].[Sum of Patient Waittime]" caption="Sum of Patient Waittim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Average of Patient Waittime]" caption="Average of Patient Waittim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Sum of Patient Satisfaction Score]" caption="Sum of Patient Satisfaction Scor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Average of Patient Satisfaction Score]" caption="Average of Patient Satisfaction Score" measure="1" displayFolder="" measureGroup="Hospital Emergency Room Data" count="0" oneField="1" hidden="1">
      <fieldsUsage count="1">
        <fieldUsage x="2"/>
      </fieldsUsage>
      <extLst>
        <ext xmlns:x15="http://schemas.microsoft.com/office/spreadsheetml/2010/11/main" uri="{B97F6D7D-B522-45F9-BDA1-12C45D357490}">
          <x15:cacheHierarchy aggregatedColumn="14"/>
        </ext>
      </extLst>
    </cacheHierarchy>
    <cacheHierarchy uniqueName="[Measures].[Count of Patient Admission Flag]" caption="Count of Patient Admission Flag" measure="1" displayFolder="" measureGroup="Hospital Emergency Room Data" count="0" hidden="1">
      <extLst>
        <ext xmlns:x15="http://schemas.microsoft.com/office/spreadsheetml/2010/11/main" uri="{B97F6D7D-B522-45F9-BDA1-12C45D357490}">
          <x15:cacheHierarchy aggregatedColumn="13"/>
        </ext>
      </extLst>
    </cacheHierarchy>
    <cacheHierarchy uniqueName="[Measures].[Count of Patient Attend Status]" caption="Count of Patient Attend Status" measure="1" displayFolder="" measureGroup="Hospital Emergency Room Data" count="0" hidden="1">
      <extLst>
        <ext xmlns:x15="http://schemas.microsoft.com/office/spreadsheetml/2010/11/main" uri="{B97F6D7D-B522-45F9-BDA1-12C45D357490}">
          <x15:cacheHierarchy aggregatedColumn="17"/>
        </ext>
      </extLst>
    </cacheHierarchy>
    <cacheHierarchy uniqueName="[Measures].[Count of Age-Group]" caption="Count of Age-Group" measure="1" displayFolder="" measureGroup="Hospital Emergency Room Data" count="0" hidden="1">
      <extLst>
        <ext xmlns:x15="http://schemas.microsoft.com/office/spreadsheetml/2010/11/main" uri="{B97F6D7D-B522-45F9-BDA1-12C45D357490}">
          <x15:cacheHierarchy aggregatedColumn="16"/>
        </ext>
      </extLst>
    </cacheHierarchy>
    <cacheHierarchy uniqueName="[Measures].[Count of Patient Waittime]" caption="Count of Patient Waittim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Count of Patient Gender]" caption="Count of Patient Gender" measure="1" displayFolder="" measureGroup="Hospital Emergency Room Data" count="0" hidden="1">
      <extLst>
        <ext xmlns:x15="http://schemas.microsoft.com/office/spreadsheetml/2010/11/main" uri="{B97F6D7D-B522-45F9-BDA1-12C45D357490}">
          <x15:cacheHierarchy aggregatedColumn="9"/>
        </ext>
      </extLst>
    </cacheHierarchy>
    <cacheHierarchy uniqueName="[Measures].[Count of Department Referral]" caption="Count of Department Referral" measure="1" displayFolder="" measureGroup="Hospital Emergency Room Data" count="0" hidden="1">
      <extLst>
        <ext xmlns:x15="http://schemas.microsoft.com/office/spreadsheetml/2010/11/main" uri="{B97F6D7D-B522-45F9-BDA1-12C45D357490}">
          <x15:cacheHierarchy aggregatedColumn="12"/>
        </ext>
      </extLst>
    </cacheHierarchy>
  </cacheHierarchies>
  <kpis count="0"/>
  <dimensions count="3">
    <dimension name="Calender_Table" uniqueName="[Calender_Table]" caption="Calender_Table"/>
    <dimension name="Hospital Emergency Room Data" uniqueName="[Hospital Emergency Room Data]" caption="Hospital Emergency Room Data"/>
    <dimension measure="1" name="Measures" uniqueName="[Measures]" caption="Measures"/>
  </dimensions>
  <measureGroups count="2">
    <measureGroup name="Calender_Table" caption="Calender_Table"/>
    <measureGroup name="Hospital Emergency Room Data" caption="Hospital Emergency Room Data"/>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SUS" refreshedDate="46008.882248842594" createdVersion="5" refreshedVersion="8" minRefreshableVersion="3" recordCount="0" supportSubquery="1" supportAdvancedDrill="1" xr:uid="{DA02EDBD-FE26-43AA-BD79-FA9CBC5A61A8}">
  <cacheSource type="external" connectionId="3"/>
  <cacheFields count="5">
    <cacheField name="[Calender_Table].[Date (Month)].[Date (Month)]" caption="Date (Month)" numFmtId="0" hierarchy="1" level="1">
      <sharedItems containsSemiMixedTypes="0" containsNonDate="0" containsString="0"/>
    </cacheField>
    <cacheField name="[Measures].[Count of Patient Admission Flag]" caption="Count of Patient Admission Flag" numFmtId="0" hierarchy="29" level="32767"/>
    <cacheField name="[Hospital Emergency Room Data].[Patient Admission Flag].[Patient Admission Flag]" caption="Patient Admission Flag" numFmtId="0" hierarchy="13" level="1">
      <sharedItems count="2">
        <s v="Admitted"/>
        <s v="Not Admitted"/>
      </sharedItems>
    </cacheField>
    <cacheField name="[Calender_Table].[Date (Year)].[Date (Year)]" caption="Date (Year)" numFmtId="0" hierarchy="3" level="1">
      <sharedItems containsSemiMixedTypes="0" containsNonDate="0" containsString="0"/>
    </cacheField>
    <cacheField name="Unsupported0" numFmtId="0" hierarchy="35" level="32767">
      <extLst>
        <ext xmlns:x14="http://schemas.microsoft.com/office/spreadsheetml/2009/9/main" uri="{63CAB8AC-B538-458d-9737-405883B0398D}">
          <x14:cacheField ignore="1"/>
        </ext>
      </extLst>
    </cacheField>
  </cacheFields>
  <cacheHierarchies count="36">
    <cacheHierarchy uniqueName="[Calender_Table].[Date]" caption="Date" attribute="1" time="1" defaultMemberUniqueName="[Calender_Table].[Date].[All]" allUniqueName="[Calender_Table].[Date].[All]" dimensionUniqueName="[Calender_Table]" displayFolder="" count="0" memberValueDatatype="7" unbalanced="0"/>
    <cacheHierarchy uniqueName="[Calender_Table].[Date (Month)]" caption="Date (Month)" attribute="1" defaultMemberUniqueName="[Calender_Table].[Date (Month)].[All]" allUniqueName="[Calender_Table].[Date (Month)].[All]" dimensionUniqueName="[Calender_Table]" displayFolder="" count="2" memberValueDatatype="130" unbalanced="0">
      <fieldsUsage count="2">
        <fieldUsage x="-1"/>
        <fieldUsage x="0"/>
      </fieldsUsage>
    </cacheHierarchy>
    <cacheHierarchy uniqueName="[Calender_Table].[Date (Day)]" caption="Date (Day)" attribute="1" defaultMemberUniqueName="[Calender_Table].[Date (Day)].[All]" allUniqueName="[Calender_Table].[Date (Day)].[All]" dimensionUniqueName="[Calender_Table]" displayFolder="" count="0" memberValueDatatype="130" unbalanced="0"/>
    <cacheHierarchy uniqueName="[Calender_Table].[Date (Year)]" caption="Date (Year)" attribute="1" defaultMemberUniqueName="[Calender_Table].[Date (Year)].[All]" allUniqueName="[Calender_Table].[Date (Year)].[All]" dimensionUniqueName="[Calender_Table]" displayFolder="" count="2" memberValueDatatype="130" unbalanced="0">
      <fieldsUsage count="2">
        <fieldUsage x="-1"/>
        <fieldUsage x="3"/>
      </fieldsUsage>
    </cacheHierarchy>
    <cacheHierarchy uniqueName="[Calender_Table].[Date (Quarter)]" caption="Date (Quarter)" attribute="1" defaultMemberUniqueName="[Calender_Table].[Date (Quarter)].[All]" allUniqueName="[Calender_Table].[Date (Quarter)].[All]" dimensionUniqueName="[Calender_Table]" displayFolder="" count="0" memberValueDatatype="130" unbalanced="0"/>
    <cacheHierarchy uniqueName="[Hospital Emergency Room Data].[Patient Id]" caption="Patient Id" attribute="1" defaultMemberUniqueName="[Hospital Emergency Room Data].[Patient Id].[All]" allUniqueName="[Hospital Emergency Room Data].[Patient Id].[All]" dimensionUniqueName="[Hospital Emergency Room Data]" displayFolder="" count="0" memberValueDatatype="130" unbalanced="0"/>
    <cacheHierarchy uniqueName="[Hospital Emergency Room Data].[Patient Admission Date]" caption="Patient Admission Date" attribute="1" time="1" defaultMemberUniqueName="[Hospital Emergency Room Data].[Patient Admission Date].[All]" allUniqueName="[Hospital Emergency Room Data].[Patient Admission Date].[All]" dimensionUniqueName="[Hospital Emergency Room Data]" displayFolder="" count="0" memberValueDatatype="7" unbalanced="0"/>
    <cacheHierarchy uniqueName="[Hospital Emergency Room Data].[Patient Admission Time]" caption="Patient Admission Time" attribute="1" time="1" defaultMemberUniqueName="[Hospital Emergency Room Data].[Patient Admission Time].[All]" allUniqueName="[Hospital Emergency Room Data].[Patient Admission Time].[All]" dimensionUniqueName="[Hospital Emergency Room Data]" displayFolder="" count="0" memberValueDatatype="7" unbalanced="0"/>
    <cacheHierarchy uniqueName="[Hospital Emergency Room Data].[Merged]" caption="Merged" attribute="1" defaultMemberUniqueName="[Hospital Emergency Room Data].[Merged].[All]" allUniqueName="[Hospital Emergency Room Data].[Merged].[All]" dimensionUniqueName="[Hospital Emergency Room Data]" displayFolder="" count="0" memberValueDatatype="130" unbalanced="0"/>
    <cacheHierarchy uniqueName="[Hospital Emergency Room Data].[Patient Gender]" caption="Patient Gender" attribute="1" defaultMemberUniqueName="[Hospital Emergency Room Data].[Patient Gender].[All]" allUniqueName="[Hospital Emergency Room Data].[Patient Gender].[All]" dimensionUniqueName="[Hospital Emergency Room Data]" displayFolder="" count="0" memberValueDatatype="130" unbalanced="0"/>
    <cacheHierarchy uniqueName="[Hospital Emergency Room Data].[Patient Age]" caption="Patient Age" attribute="1" defaultMemberUniqueName="[Hospital Emergency Room Data].[Patient Age].[All]" allUniqueName="[Hospital Emergency Room Data].[Patient Age].[All]" dimensionUniqueName="[Hospital Emergency Room Data]" displayFolder="" count="0" memberValueDatatype="20" unbalanced="0"/>
    <cacheHierarchy uniqueName="[Hospital Emergency Room Data].[Patient Race]" caption="Patient Race" attribute="1" defaultMemberUniqueName="[Hospital Emergency Room Data].[Patient Race].[All]" allUniqueName="[Hospital Emergency Room Data].[Patient Race].[All]" dimensionUniqueName="[Hospital Emergency Room Data]" displayFolder="" count="0" memberValueDatatype="130" unbalanced="0"/>
    <cacheHierarchy uniqueName="[Hospital Emergency Room Data].[Department Referral]" caption="Department Referral" attribute="1" defaultMemberUniqueName="[Hospital Emergency Room Data].[Department Referral].[All]" allUniqueName="[Hospital Emergency Room Data].[Department Referral].[All]" dimensionUniqueName="[Hospital Emergency Room Data]" displayFolder="" count="0" memberValueDatatype="130" unbalanced="0"/>
    <cacheHierarchy uniqueName="[Hospital Emergency Room Data].[Patient Admission Flag]" caption="Patient Admission Flag" attribute="1" defaultMemberUniqueName="[Hospital Emergency Room Data].[Patient Admission Flag].[All]" allUniqueName="[Hospital Emergency Room Data].[Patient Admission Flag].[All]" dimensionUniqueName="[Hospital Emergency Room Data]" displayFolder="" count="2" memberValueDatatype="130" unbalanced="0">
      <fieldsUsage count="2">
        <fieldUsage x="-1"/>
        <fieldUsage x="2"/>
      </fieldsUsage>
    </cacheHierarchy>
    <cacheHierarchy uniqueName="[Hospital Emergency Room Data].[Patient Satisfaction Score]" caption="Patient Satisfaction Score" attribute="1" defaultMemberUniqueName="[Hospital Emergency Room Data].[Patient Satisfaction Score].[All]" allUniqueName="[Hospital Emergency Room Data].[Patient Satisfaction Score].[All]" dimensionUniqueName="[Hospital Emergency Room Data]" displayFolder="" count="0" memberValueDatatype="20" unbalanced="0"/>
    <cacheHierarchy uniqueName="[Hospital Emergency Room Data].[Patient Waittime]" caption="Patient Waittime" attribute="1" defaultMemberUniqueName="[Hospital Emergency Room Data].[Patient Waittime].[All]" allUniqueName="[Hospital Emergency Room Data].[Patient Waittime].[All]" dimensionUniqueName="[Hospital Emergency Room Data]" displayFolder="" count="0" memberValueDatatype="20" unbalanced="0"/>
    <cacheHierarchy uniqueName="[Hospital Emergency Room Data].[Age-Group]" caption="Age-Group" attribute="1" defaultMemberUniqueName="[Hospital Emergency Room Data].[Age-Group].[All]" allUniqueName="[Hospital Emergency Room Data].[Age-Group].[All]" dimensionUniqueName="[Hospital Emergency Room Data]" displayFolder="" count="0" memberValueDatatype="130" unbalanced="0"/>
    <cacheHierarchy uniqueName="[Hospital Emergency Room Data].[Patient Attend Status]" caption="Patient Attend Status" attribute="1" defaultMemberUniqueName="[Hospital Emergency Room Data].[Patient Attend Status].[All]" allUniqueName="[Hospital Emergency Room Data].[Patient Attend Status].[All]" dimensionUniqueName="[Hospital Emergency Room Data]" displayFolder="" count="0" memberValueDatatype="130" unbalanced="0"/>
    <cacheHierarchy uniqueName="[Calender_Table].[Date (Day Index)]" caption="Date (Day Index)" attribute="1" defaultMemberUniqueName="[Calender_Table].[Date (Day Index)].[All]" allUniqueName="[Calender_Table].[Date (Day Index)].[All]" dimensionUniqueName="[Calender_Table]" displayFolder="" count="0" memberValueDatatype="5" unbalanced="0" hidden="1"/>
    <cacheHierarchy uniqueName="[Calender_Table].[Date (Month Index)]" caption="Date (Month Index)" attribute="1" defaultMemberUniqueName="[Calender_Table].[Date (Month Index)].[All]" allUniqueName="[Calender_Table].[Date (Month Index)].[All]" dimensionUniqueName="[Calender_Table]" displayFolder="" count="0" memberValueDatatype="20" unbalanced="0" hidden="1"/>
    <cacheHierarchy uniqueName="[Measures].[__XL_Count Hospital Emergency Room Data]" caption="__XL_Count Hospital Emergency Room Data" measure="1" displayFolder="" measureGroup="Hospital Emergency Room Data" count="0" hidden="1"/>
    <cacheHierarchy uniqueName="[Measures].[__XL_Count Calender_Table]" caption="__XL_Count Calender_Table" measure="1" displayFolder="" measureGroup="Calender_Table" count="0" hidden="1"/>
    <cacheHierarchy uniqueName="[Measures].[__No measures defined]" caption="__No measures defined" measure="1" displayFolder="" count="0" hidden="1"/>
    <cacheHierarchy uniqueName="[Measures].[Count of Patient Id]" caption="Count of Patient Id" measure="1" displayFolder="" measureGroup="Hospital Emergency Room Data" count="0" hidden="1">
      <extLst>
        <ext xmlns:x15="http://schemas.microsoft.com/office/spreadsheetml/2010/11/main" uri="{B97F6D7D-B522-45F9-BDA1-12C45D357490}">
          <x15:cacheHierarchy aggregatedColumn="5"/>
        </ext>
      </extLst>
    </cacheHierarchy>
    <cacheHierarchy uniqueName="[Measures].[Distinct Count of Patient Id]" caption="Distinct Count of Patient Id" measure="1" displayFolder="" measureGroup="Hospital Emergency Room Data" count="0" hidden="1">
      <extLst>
        <ext xmlns:x15="http://schemas.microsoft.com/office/spreadsheetml/2010/11/main" uri="{B97F6D7D-B522-45F9-BDA1-12C45D357490}">
          <x15:cacheHierarchy aggregatedColumn="5"/>
        </ext>
      </extLst>
    </cacheHierarchy>
    <cacheHierarchy uniqueName="[Measures].[Sum of Patient Waittime]" caption="Sum of Patient Waittim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Average of Patient Waittime]" caption="Average of Patient Waittim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Sum of Patient Satisfaction Score]" caption="Sum of Patient Satisfaction Scor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Average of Patient Satisfaction Score]" caption="Average of Patient Satisfaction Scor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Count of Patient Admission Flag]" caption="Count of Patient Admission Flag" measure="1" displayFolder="" measureGroup="Hospital Emergency Room Data" count="0" oneField="1" hidden="1">
      <fieldsUsage count="1">
        <fieldUsage x="1"/>
      </fieldsUsage>
      <extLst>
        <ext xmlns:x15="http://schemas.microsoft.com/office/spreadsheetml/2010/11/main" uri="{B97F6D7D-B522-45F9-BDA1-12C45D357490}">
          <x15:cacheHierarchy aggregatedColumn="13"/>
        </ext>
      </extLst>
    </cacheHierarchy>
    <cacheHierarchy uniqueName="[Measures].[Count of Patient Attend Status]" caption="Count of Patient Attend Status" measure="1" displayFolder="" measureGroup="Hospital Emergency Room Data" count="0" hidden="1">
      <extLst>
        <ext xmlns:x15="http://schemas.microsoft.com/office/spreadsheetml/2010/11/main" uri="{B97F6D7D-B522-45F9-BDA1-12C45D357490}">
          <x15:cacheHierarchy aggregatedColumn="17"/>
        </ext>
      </extLst>
    </cacheHierarchy>
    <cacheHierarchy uniqueName="[Measures].[Count of Age-Group]" caption="Count of Age-Group" measure="1" displayFolder="" measureGroup="Hospital Emergency Room Data" count="0" hidden="1">
      <extLst>
        <ext xmlns:x15="http://schemas.microsoft.com/office/spreadsheetml/2010/11/main" uri="{B97F6D7D-B522-45F9-BDA1-12C45D357490}">
          <x15:cacheHierarchy aggregatedColumn="16"/>
        </ext>
      </extLst>
    </cacheHierarchy>
    <cacheHierarchy uniqueName="[Measures].[Count of Patient Waittime]" caption="Count of Patient Waittim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Count of Patient Gender]" caption="Count of Patient Gender" measure="1" displayFolder="" measureGroup="Hospital Emergency Room Data" count="0" hidden="1">
      <extLst>
        <ext xmlns:x15="http://schemas.microsoft.com/office/spreadsheetml/2010/11/main" uri="{B97F6D7D-B522-45F9-BDA1-12C45D357490}">
          <x15:cacheHierarchy aggregatedColumn="9"/>
        </ext>
      </extLst>
    </cacheHierarchy>
    <cacheHierarchy uniqueName="[Measures].[Count of Department Referral]" caption="Count of Department Referral" measure="1" displayFolder="" measureGroup="Hospital Emergency Room Data" count="0" hidden="1">
      <extLst>
        <ext xmlns:x15="http://schemas.microsoft.com/office/spreadsheetml/2010/11/main" uri="{B97F6D7D-B522-45F9-BDA1-12C45D357490}">
          <x15:cacheHierarchy aggregatedColumn="12"/>
        </ext>
      </extLst>
    </cacheHierarchy>
    <cacheHierarchy uniqueName="Unsupported0" caption="Date" measure="1" count="0">
      <extLst>
        <ext xmlns:x14="http://schemas.microsoft.com/office/spreadsheetml/2009/9/main" uri="{8CF416AD-EC4C-4aba-99F5-12A058AE0983}">
          <x14:cacheHierarchy ignore="1"/>
        </ext>
      </extLst>
    </cacheHierarchy>
  </cacheHierarchies>
  <kpis count="0"/>
  <dimensions count="3">
    <dimension name="Calender_Table" uniqueName="[Calender_Table]" caption="Calender_Table"/>
    <dimension name="Hospital Emergency Room Data" uniqueName="[Hospital Emergency Room Data]" caption="Hospital Emergency Room Data"/>
    <dimension measure="1" name="Measures" uniqueName="[Measures]" caption="Measures"/>
  </dimensions>
  <measureGroups count="2">
    <measureGroup name="Calender_Table" caption="Calender_Table"/>
    <measureGroup name="Hospital Emergency Room Data" caption="Hospital Emergency Room Data"/>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SUS" refreshedDate="46008.882249189817" createdVersion="5" refreshedVersion="8" minRefreshableVersion="3" recordCount="0" supportSubquery="1" supportAdvancedDrill="1" xr:uid="{53827D55-0126-4EB8-8287-8F1816BEA8C9}">
  <cacheSource type="external" connectionId="3"/>
  <cacheFields count="4">
    <cacheField name="[Calender_Table].[Date (Month)].[Date (Month)]" caption="Date (Month)" numFmtId="0" hierarchy="1" level="1">
      <sharedItems containsSemiMixedTypes="0" containsNonDate="0" containsString="0"/>
    </cacheField>
    <cacheField name="[Hospital Emergency Room Data].[Age-Group].[Age-Group]" caption="Age-Group" numFmtId="0" hierarchy="16" level="1">
      <sharedItems count="8">
        <s v="0-9"/>
        <s v="10-19"/>
        <s v="20-29"/>
        <s v="30-39"/>
        <s v="40-49"/>
        <s v="50-59"/>
        <s v="60-69"/>
        <s v="70-79"/>
      </sharedItems>
    </cacheField>
    <cacheField name="[Measures].[Count of Age-Group]" caption="Count of Age-Group" numFmtId="0" hierarchy="31" level="32767"/>
    <cacheField name="[Calender_Table].[Date (Year)].[Date (Year)]" caption="Date (Year)" numFmtId="0" hierarchy="3" level="1">
      <sharedItems containsSemiMixedTypes="0" containsNonDate="0" containsString="0"/>
    </cacheField>
  </cacheFields>
  <cacheHierarchies count="35">
    <cacheHierarchy uniqueName="[Calender_Table].[Date]" caption="Date" attribute="1" time="1" defaultMemberUniqueName="[Calender_Table].[Date].[All]" allUniqueName="[Calender_Table].[Date].[All]" dimensionUniqueName="[Calender_Table]" displayFolder="" count="0" memberValueDatatype="7" unbalanced="0"/>
    <cacheHierarchy uniqueName="[Calender_Table].[Date (Month)]" caption="Date (Month)" attribute="1" defaultMemberUniqueName="[Calender_Table].[Date (Month)].[All]" allUniqueName="[Calender_Table].[Date (Month)].[All]" dimensionUniqueName="[Calender_Table]" displayFolder="" count="2" memberValueDatatype="130" unbalanced="0">
      <fieldsUsage count="2">
        <fieldUsage x="-1"/>
        <fieldUsage x="0"/>
      </fieldsUsage>
    </cacheHierarchy>
    <cacheHierarchy uniqueName="[Calender_Table].[Date (Day)]" caption="Date (Day)" attribute="1" defaultMemberUniqueName="[Calender_Table].[Date (Day)].[All]" allUniqueName="[Calender_Table].[Date (Day)].[All]" dimensionUniqueName="[Calender_Table]" displayFolder="" count="0" memberValueDatatype="130" unbalanced="0"/>
    <cacheHierarchy uniqueName="[Calender_Table].[Date (Year)]" caption="Date (Year)" attribute="1" defaultMemberUniqueName="[Calender_Table].[Date (Year)].[All]" allUniqueName="[Calender_Table].[Date (Year)].[All]" dimensionUniqueName="[Calender_Table]" displayFolder="" count="2" memberValueDatatype="130" unbalanced="0">
      <fieldsUsage count="2">
        <fieldUsage x="-1"/>
        <fieldUsage x="3"/>
      </fieldsUsage>
    </cacheHierarchy>
    <cacheHierarchy uniqueName="[Calender_Table].[Date (Quarter)]" caption="Date (Quarter)" attribute="1" defaultMemberUniqueName="[Calender_Table].[Date (Quarter)].[All]" allUniqueName="[Calender_Table].[Date (Quarter)].[All]" dimensionUniqueName="[Calender_Table]" displayFolder="" count="0" memberValueDatatype="130" unbalanced="0"/>
    <cacheHierarchy uniqueName="[Hospital Emergency Room Data].[Patient Id]" caption="Patient Id" attribute="1" defaultMemberUniqueName="[Hospital Emergency Room Data].[Patient Id].[All]" allUniqueName="[Hospital Emergency Room Data].[Patient Id].[All]" dimensionUniqueName="[Hospital Emergency Room Data]" displayFolder="" count="0" memberValueDatatype="130" unbalanced="0"/>
    <cacheHierarchy uniqueName="[Hospital Emergency Room Data].[Patient Admission Date]" caption="Patient Admission Date" attribute="1" time="1" defaultMemberUniqueName="[Hospital Emergency Room Data].[Patient Admission Date].[All]" allUniqueName="[Hospital Emergency Room Data].[Patient Admission Date].[All]" dimensionUniqueName="[Hospital Emergency Room Data]" displayFolder="" count="0" memberValueDatatype="7" unbalanced="0"/>
    <cacheHierarchy uniqueName="[Hospital Emergency Room Data].[Patient Admission Time]" caption="Patient Admission Time" attribute="1" time="1" defaultMemberUniqueName="[Hospital Emergency Room Data].[Patient Admission Time].[All]" allUniqueName="[Hospital Emergency Room Data].[Patient Admission Time].[All]" dimensionUniqueName="[Hospital Emergency Room Data]" displayFolder="" count="0" memberValueDatatype="7" unbalanced="0"/>
    <cacheHierarchy uniqueName="[Hospital Emergency Room Data].[Merged]" caption="Merged" attribute="1" defaultMemberUniqueName="[Hospital Emergency Room Data].[Merged].[All]" allUniqueName="[Hospital Emergency Room Data].[Merged].[All]" dimensionUniqueName="[Hospital Emergency Room Data]" displayFolder="" count="0" memberValueDatatype="130" unbalanced="0"/>
    <cacheHierarchy uniqueName="[Hospital Emergency Room Data].[Patient Gender]" caption="Patient Gender" attribute="1" defaultMemberUniqueName="[Hospital Emergency Room Data].[Patient Gender].[All]" allUniqueName="[Hospital Emergency Room Data].[Patient Gender].[All]" dimensionUniqueName="[Hospital Emergency Room Data]" displayFolder="" count="0" memberValueDatatype="130" unbalanced="0"/>
    <cacheHierarchy uniqueName="[Hospital Emergency Room Data].[Patient Age]" caption="Patient Age" attribute="1" defaultMemberUniqueName="[Hospital Emergency Room Data].[Patient Age].[All]" allUniqueName="[Hospital Emergency Room Data].[Patient Age].[All]" dimensionUniqueName="[Hospital Emergency Room Data]" displayFolder="" count="0" memberValueDatatype="20" unbalanced="0"/>
    <cacheHierarchy uniqueName="[Hospital Emergency Room Data].[Patient Race]" caption="Patient Race" attribute="1" defaultMemberUniqueName="[Hospital Emergency Room Data].[Patient Race].[All]" allUniqueName="[Hospital Emergency Room Data].[Patient Race].[All]" dimensionUniqueName="[Hospital Emergency Room Data]" displayFolder="" count="0" memberValueDatatype="130" unbalanced="0"/>
    <cacheHierarchy uniqueName="[Hospital Emergency Room Data].[Department Referral]" caption="Department Referral" attribute="1" defaultMemberUniqueName="[Hospital Emergency Room Data].[Department Referral].[All]" allUniqueName="[Hospital Emergency Room Data].[Department Referral].[All]" dimensionUniqueName="[Hospital Emergency Room Data]" displayFolder="" count="0" memberValueDatatype="130" unbalanced="0"/>
    <cacheHierarchy uniqueName="[Hospital Emergency Room Data].[Patient Admission Flag]" caption="Patient Admission Flag" attribute="1" defaultMemberUniqueName="[Hospital Emergency Room Data].[Patient Admission Flag].[All]" allUniqueName="[Hospital Emergency Room Data].[Patient Admission Flag].[All]" dimensionUniqueName="[Hospital Emergency Room Data]" displayFolder="" count="0" memberValueDatatype="130" unbalanced="0"/>
    <cacheHierarchy uniqueName="[Hospital Emergency Room Data].[Patient Satisfaction Score]" caption="Patient Satisfaction Score" attribute="1" defaultMemberUniqueName="[Hospital Emergency Room Data].[Patient Satisfaction Score].[All]" allUniqueName="[Hospital Emergency Room Data].[Patient Satisfaction Score].[All]" dimensionUniqueName="[Hospital Emergency Room Data]" displayFolder="" count="0" memberValueDatatype="20" unbalanced="0"/>
    <cacheHierarchy uniqueName="[Hospital Emergency Room Data].[Patient Waittime]" caption="Patient Waittime" attribute="1" defaultMemberUniqueName="[Hospital Emergency Room Data].[Patient Waittime].[All]" allUniqueName="[Hospital Emergency Room Data].[Patient Waittime].[All]" dimensionUniqueName="[Hospital Emergency Room Data]" displayFolder="" count="0" memberValueDatatype="20" unbalanced="0"/>
    <cacheHierarchy uniqueName="[Hospital Emergency Room Data].[Age-Group]" caption="Age-Group" attribute="1" defaultMemberUniqueName="[Hospital Emergency Room Data].[Age-Group].[All]" allUniqueName="[Hospital Emergency Room Data].[Age-Group].[All]" dimensionUniqueName="[Hospital Emergency Room Data]" displayFolder="" count="2" memberValueDatatype="130" unbalanced="0">
      <fieldsUsage count="2">
        <fieldUsage x="-1"/>
        <fieldUsage x="1"/>
      </fieldsUsage>
    </cacheHierarchy>
    <cacheHierarchy uniqueName="[Hospital Emergency Room Data].[Patient Attend Status]" caption="Patient Attend Status" attribute="1" defaultMemberUniqueName="[Hospital Emergency Room Data].[Patient Attend Status].[All]" allUniqueName="[Hospital Emergency Room Data].[Patient Attend Status].[All]" dimensionUniqueName="[Hospital Emergency Room Data]" displayFolder="" count="0" memberValueDatatype="130" unbalanced="0"/>
    <cacheHierarchy uniqueName="[Calender_Table].[Date (Day Index)]" caption="Date (Day Index)" attribute="1" defaultMemberUniqueName="[Calender_Table].[Date (Day Index)].[All]" allUniqueName="[Calender_Table].[Date (Day Index)].[All]" dimensionUniqueName="[Calender_Table]" displayFolder="" count="0" memberValueDatatype="5" unbalanced="0" hidden="1"/>
    <cacheHierarchy uniqueName="[Calender_Table].[Date (Month Index)]" caption="Date (Month Index)" attribute="1" defaultMemberUniqueName="[Calender_Table].[Date (Month Index)].[All]" allUniqueName="[Calender_Table].[Date (Month Index)].[All]" dimensionUniqueName="[Calender_Table]" displayFolder="" count="0" memberValueDatatype="20" unbalanced="0" hidden="1"/>
    <cacheHierarchy uniqueName="[Measures].[__XL_Count Hospital Emergency Room Data]" caption="__XL_Count Hospital Emergency Room Data" measure="1" displayFolder="" measureGroup="Hospital Emergency Room Data" count="0" hidden="1"/>
    <cacheHierarchy uniqueName="[Measures].[__XL_Count Calender_Table]" caption="__XL_Count Calender_Table" measure="1" displayFolder="" measureGroup="Calender_Table" count="0" hidden="1"/>
    <cacheHierarchy uniqueName="[Measures].[__No measures defined]" caption="__No measures defined" measure="1" displayFolder="" count="0" hidden="1"/>
    <cacheHierarchy uniqueName="[Measures].[Count of Patient Id]" caption="Count of Patient Id" measure="1" displayFolder="" measureGroup="Hospital Emergency Room Data" count="0" hidden="1">
      <extLst>
        <ext xmlns:x15="http://schemas.microsoft.com/office/spreadsheetml/2010/11/main" uri="{B97F6D7D-B522-45F9-BDA1-12C45D357490}">
          <x15:cacheHierarchy aggregatedColumn="5"/>
        </ext>
      </extLst>
    </cacheHierarchy>
    <cacheHierarchy uniqueName="[Measures].[Distinct Count of Patient Id]" caption="Distinct Count of Patient Id" measure="1" displayFolder="" measureGroup="Hospital Emergency Room Data" count="0" hidden="1">
      <extLst>
        <ext xmlns:x15="http://schemas.microsoft.com/office/spreadsheetml/2010/11/main" uri="{B97F6D7D-B522-45F9-BDA1-12C45D357490}">
          <x15:cacheHierarchy aggregatedColumn="5"/>
        </ext>
      </extLst>
    </cacheHierarchy>
    <cacheHierarchy uniqueName="[Measures].[Sum of Patient Waittime]" caption="Sum of Patient Waittim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Average of Patient Waittime]" caption="Average of Patient Waittim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Sum of Patient Satisfaction Score]" caption="Sum of Patient Satisfaction Scor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Average of Patient Satisfaction Score]" caption="Average of Patient Satisfaction Scor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Count of Patient Admission Flag]" caption="Count of Patient Admission Flag" measure="1" displayFolder="" measureGroup="Hospital Emergency Room Data" count="0" hidden="1">
      <extLst>
        <ext xmlns:x15="http://schemas.microsoft.com/office/spreadsheetml/2010/11/main" uri="{B97F6D7D-B522-45F9-BDA1-12C45D357490}">
          <x15:cacheHierarchy aggregatedColumn="13"/>
        </ext>
      </extLst>
    </cacheHierarchy>
    <cacheHierarchy uniqueName="[Measures].[Count of Patient Attend Status]" caption="Count of Patient Attend Status" measure="1" displayFolder="" measureGroup="Hospital Emergency Room Data" count="0" hidden="1">
      <extLst>
        <ext xmlns:x15="http://schemas.microsoft.com/office/spreadsheetml/2010/11/main" uri="{B97F6D7D-B522-45F9-BDA1-12C45D357490}">
          <x15:cacheHierarchy aggregatedColumn="17"/>
        </ext>
      </extLst>
    </cacheHierarchy>
    <cacheHierarchy uniqueName="[Measures].[Count of Age-Group]" caption="Count of Age-Group" measure="1" displayFolder="" measureGroup="Hospital Emergency Room Data" count="0" oneField="1" hidden="1">
      <fieldsUsage count="1">
        <fieldUsage x="2"/>
      </fieldsUsage>
      <extLst>
        <ext xmlns:x15="http://schemas.microsoft.com/office/spreadsheetml/2010/11/main" uri="{B97F6D7D-B522-45F9-BDA1-12C45D357490}">
          <x15:cacheHierarchy aggregatedColumn="16"/>
        </ext>
      </extLst>
    </cacheHierarchy>
    <cacheHierarchy uniqueName="[Measures].[Count of Patient Waittime]" caption="Count of Patient Waittim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Count of Patient Gender]" caption="Count of Patient Gender" measure="1" displayFolder="" measureGroup="Hospital Emergency Room Data" count="0" hidden="1">
      <extLst>
        <ext xmlns:x15="http://schemas.microsoft.com/office/spreadsheetml/2010/11/main" uri="{B97F6D7D-B522-45F9-BDA1-12C45D357490}">
          <x15:cacheHierarchy aggregatedColumn="9"/>
        </ext>
      </extLst>
    </cacheHierarchy>
    <cacheHierarchy uniqueName="[Measures].[Count of Department Referral]" caption="Count of Department Referral" measure="1" displayFolder="" measureGroup="Hospital Emergency Room Data" count="0" hidden="1">
      <extLst>
        <ext xmlns:x15="http://schemas.microsoft.com/office/spreadsheetml/2010/11/main" uri="{B97F6D7D-B522-45F9-BDA1-12C45D357490}">
          <x15:cacheHierarchy aggregatedColumn="12"/>
        </ext>
      </extLst>
    </cacheHierarchy>
  </cacheHierarchies>
  <kpis count="0"/>
  <dimensions count="3">
    <dimension name="Calender_Table" uniqueName="[Calender_Table]" caption="Calender_Table"/>
    <dimension name="Hospital Emergency Room Data" uniqueName="[Hospital Emergency Room Data]" caption="Hospital Emergency Room Data"/>
    <dimension measure="1" name="Measures" uniqueName="[Measures]" caption="Measures"/>
  </dimensions>
  <measureGroups count="2">
    <measureGroup name="Calender_Table" caption="Calender_Table"/>
    <measureGroup name="Hospital Emergency Room Data" caption="Hospital Emergency Room Data"/>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SUS" refreshedDate="46008.88224953704" createdVersion="5" refreshedVersion="8" minRefreshableVersion="3" recordCount="0" supportSubquery="1" supportAdvancedDrill="1" xr:uid="{0BEDAE59-ADF1-4125-9794-73C32452EFF5}">
  <cacheSource type="external" connectionId="3"/>
  <cacheFields count="4">
    <cacheField name="[Calender_Table].[Date (Month)].[Date (Month)]" caption="Date (Month)" numFmtId="0" hierarchy="1" level="1">
      <sharedItems containsSemiMixedTypes="0" containsNonDate="0" containsString="0"/>
    </cacheField>
    <cacheField name="[Hospital Emergency Room Data].[Patient Attend Status].[Patient Attend Status]" caption="Patient Attend Status" numFmtId="0" hierarchy="17" level="1">
      <sharedItems count="2">
        <s v="Delay"/>
        <s v="Ontime"/>
      </sharedItems>
    </cacheField>
    <cacheField name="[Measures].[Count of Patient Attend Status]" caption="Count of Patient Attend Status" numFmtId="0" hierarchy="30" level="32767"/>
    <cacheField name="[Calender_Table].[Date (Year)].[Date (Year)]" caption="Date (Year)" numFmtId="0" hierarchy="3" level="1">
      <sharedItems containsSemiMixedTypes="0" containsNonDate="0" containsString="0"/>
    </cacheField>
  </cacheFields>
  <cacheHierarchies count="35">
    <cacheHierarchy uniqueName="[Calender_Table].[Date]" caption="Date" attribute="1" time="1" defaultMemberUniqueName="[Calender_Table].[Date].[All]" allUniqueName="[Calender_Table].[Date].[All]" dimensionUniqueName="[Calender_Table]" displayFolder="" count="0" memberValueDatatype="7" unbalanced="0"/>
    <cacheHierarchy uniqueName="[Calender_Table].[Date (Month)]" caption="Date (Month)" attribute="1" defaultMemberUniqueName="[Calender_Table].[Date (Month)].[All]" allUniqueName="[Calender_Table].[Date (Month)].[All]" dimensionUniqueName="[Calender_Table]" displayFolder="" count="2" memberValueDatatype="130" unbalanced="0">
      <fieldsUsage count="2">
        <fieldUsage x="-1"/>
        <fieldUsage x="0"/>
      </fieldsUsage>
    </cacheHierarchy>
    <cacheHierarchy uniqueName="[Calender_Table].[Date (Day)]" caption="Date (Day)" attribute="1" defaultMemberUniqueName="[Calender_Table].[Date (Day)].[All]" allUniqueName="[Calender_Table].[Date (Day)].[All]" dimensionUniqueName="[Calender_Table]" displayFolder="" count="0" memberValueDatatype="130" unbalanced="0"/>
    <cacheHierarchy uniqueName="[Calender_Table].[Date (Year)]" caption="Date (Year)" attribute="1" defaultMemberUniqueName="[Calender_Table].[Date (Year)].[All]" allUniqueName="[Calender_Table].[Date (Year)].[All]" dimensionUniqueName="[Calender_Table]" displayFolder="" count="2" memberValueDatatype="130" unbalanced="0">
      <fieldsUsage count="2">
        <fieldUsage x="-1"/>
        <fieldUsage x="3"/>
      </fieldsUsage>
    </cacheHierarchy>
    <cacheHierarchy uniqueName="[Calender_Table].[Date (Quarter)]" caption="Date (Quarter)" attribute="1" defaultMemberUniqueName="[Calender_Table].[Date (Quarter)].[All]" allUniqueName="[Calender_Table].[Date (Quarter)].[All]" dimensionUniqueName="[Calender_Table]" displayFolder="" count="0" memberValueDatatype="130" unbalanced="0"/>
    <cacheHierarchy uniqueName="[Hospital Emergency Room Data].[Patient Id]" caption="Patient Id" attribute="1" defaultMemberUniqueName="[Hospital Emergency Room Data].[Patient Id].[All]" allUniqueName="[Hospital Emergency Room Data].[Patient Id].[All]" dimensionUniqueName="[Hospital Emergency Room Data]" displayFolder="" count="0" memberValueDatatype="130" unbalanced="0"/>
    <cacheHierarchy uniqueName="[Hospital Emergency Room Data].[Patient Admission Date]" caption="Patient Admission Date" attribute="1" time="1" defaultMemberUniqueName="[Hospital Emergency Room Data].[Patient Admission Date].[All]" allUniqueName="[Hospital Emergency Room Data].[Patient Admission Date].[All]" dimensionUniqueName="[Hospital Emergency Room Data]" displayFolder="" count="0" memberValueDatatype="7" unbalanced="0"/>
    <cacheHierarchy uniqueName="[Hospital Emergency Room Data].[Patient Admission Time]" caption="Patient Admission Time" attribute="1" time="1" defaultMemberUniqueName="[Hospital Emergency Room Data].[Patient Admission Time].[All]" allUniqueName="[Hospital Emergency Room Data].[Patient Admission Time].[All]" dimensionUniqueName="[Hospital Emergency Room Data]" displayFolder="" count="0" memberValueDatatype="7" unbalanced="0"/>
    <cacheHierarchy uniqueName="[Hospital Emergency Room Data].[Merged]" caption="Merged" attribute="1" defaultMemberUniqueName="[Hospital Emergency Room Data].[Merged].[All]" allUniqueName="[Hospital Emergency Room Data].[Merged].[All]" dimensionUniqueName="[Hospital Emergency Room Data]" displayFolder="" count="0" memberValueDatatype="130" unbalanced="0"/>
    <cacheHierarchy uniqueName="[Hospital Emergency Room Data].[Patient Gender]" caption="Patient Gender" attribute="1" defaultMemberUniqueName="[Hospital Emergency Room Data].[Patient Gender].[All]" allUniqueName="[Hospital Emergency Room Data].[Patient Gender].[All]" dimensionUniqueName="[Hospital Emergency Room Data]" displayFolder="" count="0" memberValueDatatype="130" unbalanced="0"/>
    <cacheHierarchy uniqueName="[Hospital Emergency Room Data].[Patient Age]" caption="Patient Age" attribute="1" defaultMemberUniqueName="[Hospital Emergency Room Data].[Patient Age].[All]" allUniqueName="[Hospital Emergency Room Data].[Patient Age].[All]" dimensionUniqueName="[Hospital Emergency Room Data]" displayFolder="" count="0" memberValueDatatype="20" unbalanced="0"/>
    <cacheHierarchy uniqueName="[Hospital Emergency Room Data].[Patient Race]" caption="Patient Race" attribute="1" defaultMemberUniqueName="[Hospital Emergency Room Data].[Patient Race].[All]" allUniqueName="[Hospital Emergency Room Data].[Patient Race].[All]" dimensionUniqueName="[Hospital Emergency Room Data]" displayFolder="" count="0" memberValueDatatype="130" unbalanced="0"/>
    <cacheHierarchy uniqueName="[Hospital Emergency Room Data].[Department Referral]" caption="Department Referral" attribute="1" defaultMemberUniqueName="[Hospital Emergency Room Data].[Department Referral].[All]" allUniqueName="[Hospital Emergency Room Data].[Department Referral].[All]" dimensionUniqueName="[Hospital Emergency Room Data]" displayFolder="" count="0" memberValueDatatype="130" unbalanced="0"/>
    <cacheHierarchy uniqueName="[Hospital Emergency Room Data].[Patient Admission Flag]" caption="Patient Admission Flag" attribute="1" defaultMemberUniqueName="[Hospital Emergency Room Data].[Patient Admission Flag].[All]" allUniqueName="[Hospital Emergency Room Data].[Patient Admission Flag].[All]" dimensionUniqueName="[Hospital Emergency Room Data]" displayFolder="" count="0" memberValueDatatype="130" unbalanced="0"/>
    <cacheHierarchy uniqueName="[Hospital Emergency Room Data].[Patient Satisfaction Score]" caption="Patient Satisfaction Score" attribute="1" defaultMemberUniqueName="[Hospital Emergency Room Data].[Patient Satisfaction Score].[All]" allUniqueName="[Hospital Emergency Room Data].[Patient Satisfaction Score].[All]" dimensionUniqueName="[Hospital Emergency Room Data]" displayFolder="" count="0" memberValueDatatype="20" unbalanced="0"/>
    <cacheHierarchy uniqueName="[Hospital Emergency Room Data].[Patient Waittime]" caption="Patient Waittime" attribute="1" defaultMemberUniqueName="[Hospital Emergency Room Data].[Patient Waittime].[All]" allUniqueName="[Hospital Emergency Room Data].[Patient Waittime].[All]" dimensionUniqueName="[Hospital Emergency Room Data]" displayFolder="" count="0" memberValueDatatype="20" unbalanced="0"/>
    <cacheHierarchy uniqueName="[Hospital Emergency Room Data].[Age-Group]" caption="Age-Group" attribute="1" defaultMemberUniqueName="[Hospital Emergency Room Data].[Age-Group].[All]" allUniqueName="[Hospital Emergency Room Data].[Age-Group].[All]" dimensionUniqueName="[Hospital Emergency Room Data]" displayFolder="" count="0" memberValueDatatype="130" unbalanced="0"/>
    <cacheHierarchy uniqueName="[Hospital Emergency Room Data].[Patient Attend Status]" caption="Patient Attend Status" attribute="1" defaultMemberUniqueName="[Hospital Emergency Room Data].[Patient Attend Status].[All]" allUniqueName="[Hospital Emergency Room Data].[Patient Attend Status].[All]" dimensionUniqueName="[Hospital Emergency Room Data]" displayFolder="" count="2" memberValueDatatype="130" unbalanced="0">
      <fieldsUsage count="2">
        <fieldUsage x="-1"/>
        <fieldUsage x="1"/>
      </fieldsUsage>
    </cacheHierarchy>
    <cacheHierarchy uniqueName="[Calender_Table].[Date (Day Index)]" caption="Date (Day Index)" attribute="1" defaultMemberUniqueName="[Calender_Table].[Date (Day Index)].[All]" allUniqueName="[Calender_Table].[Date (Day Index)].[All]" dimensionUniqueName="[Calender_Table]" displayFolder="" count="0" memberValueDatatype="5" unbalanced="0" hidden="1"/>
    <cacheHierarchy uniqueName="[Calender_Table].[Date (Month Index)]" caption="Date (Month Index)" attribute="1" defaultMemberUniqueName="[Calender_Table].[Date (Month Index)].[All]" allUniqueName="[Calender_Table].[Date (Month Index)].[All]" dimensionUniqueName="[Calender_Table]" displayFolder="" count="0" memberValueDatatype="20" unbalanced="0" hidden="1"/>
    <cacheHierarchy uniqueName="[Measures].[__XL_Count Hospital Emergency Room Data]" caption="__XL_Count Hospital Emergency Room Data" measure="1" displayFolder="" measureGroup="Hospital Emergency Room Data" count="0" hidden="1"/>
    <cacheHierarchy uniqueName="[Measures].[__XL_Count Calender_Table]" caption="__XL_Count Calender_Table" measure="1" displayFolder="" measureGroup="Calender_Table" count="0" hidden="1"/>
    <cacheHierarchy uniqueName="[Measures].[__No measures defined]" caption="__No measures defined" measure="1" displayFolder="" count="0" hidden="1"/>
    <cacheHierarchy uniqueName="[Measures].[Count of Patient Id]" caption="Count of Patient Id" measure="1" displayFolder="" measureGroup="Hospital Emergency Room Data" count="0" hidden="1">
      <extLst>
        <ext xmlns:x15="http://schemas.microsoft.com/office/spreadsheetml/2010/11/main" uri="{B97F6D7D-B522-45F9-BDA1-12C45D357490}">
          <x15:cacheHierarchy aggregatedColumn="5"/>
        </ext>
      </extLst>
    </cacheHierarchy>
    <cacheHierarchy uniqueName="[Measures].[Distinct Count of Patient Id]" caption="Distinct Count of Patient Id" measure="1" displayFolder="" measureGroup="Hospital Emergency Room Data" count="0" hidden="1">
      <extLst>
        <ext xmlns:x15="http://schemas.microsoft.com/office/spreadsheetml/2010/11/main" uri="{B97F6D7D-B522-45F9-BDA1-12C45D357490}">
          <x15:cacheHierarchy aggregatedColumn="5"/>
        </ext>
      </extLst>
    </cacheHierarchy>
    <cacheHierarchy uniqueName="[Measures].[Sum of Patient Waittime]" caption="Sum of Patient Waittim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Average of Patient Waittime]" caption="Average of Patient Waittim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Sum of Patient Satisfaction Score]" caption="Sum of Patient Satisfaction Scor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Average of Patient Satisfaction Score]" caption="Average of Patient Satisfaction Scor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Count of Patient Admission Flag]" caption="Count of Patient Admission Flag" measure="1" displayFolder="" measureGroup="Hospital Emergency Room Data" count="0" hidden="1">
      <extLst>
        <ext xmlns:x15="http://schemas.microsoft.com/office/spreadsheetml/2010/11/main" uri="{B97F6D7D-B522-45F9-BDA1-12C45D357490}">
          <x15:cacheHierarchy aggregatedColumn="13"/>
        </ext>
      </extLst>
    </cacheHierarchy>
    <cacheHierarchy uniqueName="[Measures].[Count of Patient Attend Status]" caption="Count of Patient Attend Status" measure="1" displayFolder="" measureGroup="Hospital Emergency Room Data" count="0" oneField="1" hidden="1">
      <fieldsUsage count="1">
        <fieldUsage x="2"/>
      </fieldsUsage>
      <extLst>
        <ext xmlns:x15="http://schemas.microsoft.com/office/spreadsheetml/2010/11/main" uri="{B97F6D7D-B522-45F9-BDA1-12C45D357490}">
          <x15:cacheHierarchy aggregatedColumn="17"/>
        </ext>
      </extLst>
    </cacheHierarchy>
    <cacheHierarchy uniqueName="[Measures].[Count of Age-Group]" caption="Count of Age-Group" measure="1" displayFolder="" measureGroup="Hospital Emergency Room Data" count="0" hidden="1">
      <extLst>
        <ext xmlns:x15="http://schemas.microsoft.com/office/spreadsheetml/2010/11/main" uri="{B97F6D7D-B522-45F9-BDA1-12C45D357490}">
          <x15:cacheHierarchy aggregatedColumn="16"/>
        </ext>
      </extLst>
    </cacheHierarchy>
    <cacheHierarchy uniqueName="[Measures].[Count of Patient Waittime]" caption="Count of Patient Waittim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Count of Patient Gender]" caption="Count of Patient Gender" measure="1" displayFolder="" measureGroup="Hospital Emergency Room Data" count="0" hidden="1">
      <extLst>
        <ext xmlns:x15="http://schemas.microsoft.com/office/spreadsheetml/2010/11/main" uri="{B97F6D7D-B522-45F9-BDA1-12C45D357490}">
          <x15:cacheHierarchy aggregatedColumn="9"/>
        </ext>
      </extLst>
    </cacheHierarchy>
    <cacheHierarchy uniqueName="[Measures].[Count of Department Referral]" caption="Count of Department Referral" measure="1" displayFolder="" measureGroup="Hospital Emergency Room Data" count="0" hidden="1">
      <extLst>
        <ext xmlns:x15="http://schemas.microsoft.com/office/spreadsheetml/2010/11/main" uri="{B97F6D7D-B522-45F9-BDA1-12C45D357490}">
          <x15:cacheHierarchy aggregatedColumn="12"/>
        </ext>
      </extLst>
    </cacheHierarchy>
  </cacheHierarchies>
  <kpis count="0"/>
  <dimensions count="3">
    <dimension name="Calender_Table" uniqueName="[Calender_Table]" caption="Calender_Table"/>
    <dimension name="Hospital Emergency Room Data" uniqueName="[Hospital Emergency Room Data]" caption="Hospital Emergency Room Data"/>
    <dimension measure="1" name="Measures" uniqueName="[Measures]" caption="Measures"/>
  </dimensions>
  <measureGroups count="2">
    <measureGroup name="Calender_Table" caption="Calender_Table"/>
    <measureGroup name="Hospital Emergency Room Data" caption="Hospital Emergency Room Data"/>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SUS" refreshedDate="46008.882249884256" createdVersion="5" refreshedVersion="8" minRefreshableVersion="3" recordCount="0" supportSubquery="1" supportAdvancedDrill="1" xr:uid="{3F1361D2-D5D9-4190-A334-D15AEFAD5403}">
  <cacheSource type="external" connectionId="3"/>
  <cacheFields count="4">
    <cacheField name="[Calender_Table].[Date (Month)].[Date (Month)]" caption="Date (Month)" numFmtId="0" hierarchy="1" level="1">
      <sharedItems containsSemiMixedTypes="0" containsNonDate="0" containsString="0"/>
    </cacheField>
    <cacheField name="[Hospital Emergency Room Data].[Patient Gender].[Patient Gender]" caption="Patient Gender" numFmtId="0" hierarchy="9" level="1">
      <sharedItems count="2">
        <s v="Female"/>
        <s v="Male"/>
      </sharedItems>
    </cacheField>
    <cacheField name="[Measures].[Count of Patient Gender]" caption="Count of Patient Gender" numFmtId="0" hierarchy="33" level="32767"/>
    <cacheField name="[Calender_Table].[Date (Year)].[Date (Year)]" caption="Date (Year)" numFmtId="0" hierarchy="3" level="1">
      <sharedItems containsSemiMixedTypes="0" containsNonDate="0" containsString="0"/>
    </cacheField>
  </cacheFields>
  <cacheHierarchies count="35">
    <cacheHierarchy uniqueName="[Calender_Table].[Date]" caption="Date" attribute="1" time="1" defaultMemberUniqueName="[Calender_Table].[Date].[All]" allUniqueName="[Calender_Table].[Date].[All]" dimensionUniqueName="[Calender_Table]" displayFolder="" count="0" memberValueDatatype="7" unbalanced="0"/>
    <cacheHierarchy uniqueName="[Calender_Table].[Date (Month)]" caption="Date (Month)" attribute="1" defaultMemberUniqueName="[Calender_Table].[Date (Month)].[All]" allUniqueName="[Calender_Table].[Date (Month)].[All]" dimensionUniqueName="[Calender_Table]" displayFolder="" count="2" memberValueDatatype="130" unbalanced="0">
      <fieldsUsage count="2">
        <fieldUsage x="-1"/>
        <fieldUsage x="0"/>
      </fieldsUsage>
    </cacheHierarchy>
    <cacheHierarchy uniqueName="[Calender_Table].[Date (Day)]" caption="Date (Day)" attribute="1" defaultMemberUniqueName="[Calender_Table].[Date (Day)].[All]" allUniqueName="[Calender_Table].[Date (Day)].[All]" dimensionUniqueName="[Calender_Table]" displayFolder="" count="0" memberValueDatatype="130" unbalanced="0"/>
    <cacheHierarchy uniqueName="[Calender_Table].[Date (Year)]" caption="Date (Year)" attribute="1" defaultMemberUniqueName="[Calender_Table].[Date (Year)].[All]" allUniqueName="[Calender_Table].[Date (Year)].[All]" dimensionUniqueName="[Calender_Table]" displayFolder="" count="2" memberValueDatatype="130" unbalanced="0">
      <fieldsUsage count="2">
        <fieldUsage x="-1"/>
        <fieldUsage x="3"/>
      </fieldsUsage>
    </cacheHierarchy>
    <cacheHierarchy uniqueName="[Calender_Table].[Date (Quarter)]" caption="Date (Quarter)" attribute="1" defaultMemberUniqueName="[Calender_Table].[Date (Quarter)].[All]" allUniqueName="[Calender_Table].[Date (Quarter)].[All]" dimensionUniqueName="[Calender_Table]" displayFolder="" count="0" memberValueDatatype="130" unbalanced="0"/>
    <cacheHierarchy uniqueName="[Hospital Emergency Room Data].[Patient Id]" caption="Patient Id" attribute="1" defaultMemberUniqueName="[Hospital Emergency Room Data].[Patient Id].[All]" allUniqueName="[Hospital Emergency Room Data].[Patient Id].[All]" dimensionUniqueName="[Hospital Emergency Room Data]" displayFolder="" count="0" memberValueDatatype="130" unbalanced="0"/>
    <cacheHierarchy uniqueName="[Hospital Emergency Room Data].[Patient Admission Date]" caption="Patient Admission Date" attribute="1" time="1" defaultMemberUniqueName="[Hospital Emergency Room Data].[Patient Admission Date].[All]" allUniqueName="[Hospital Emergency Room Data].[Patient Admission Date].[All]" dimensionUniqueName="[Hospital Emergency Room Data]" displayFolder="" count="0" memberValueDatatype="7" unbalanced="0"/>
    <cacheHierarchy uniqueName="[Hospital Emergency Room Data].[Patient Admission Time]" caption="Patient Admission Time" attribute="1" time="1" defaultMemberUniqueName="[Hospital Emergency Room Data].[Patient Admission Time].[All]" allUniqueName="[Hospital Emergency Room Data].[Patient Admission Time].[All]" dimensionUniqueName="[Hospital Emergency Room Data]" displayFolder="" count="0" memberValueDatatype="7" unbalanced="0"/>
    <cacheHierarchy uniqueName="[Hospital Emergency Room Data].[Merged]" caption="Merged" attribute="1" defaultMemberUniqueName="[Hospital Emergency Room Data].[Merged].[All]" allUniqueName="[Hospital Emergency Room Data].[Merged].[All]" dimensionUniqueName="[Hospital Emergency Room Data]" displayFolder="" count="0" memberValueDatatype="130" unbalanced="0"/>
    <cacheHierarchy uniqueName="[Hospital Emergency Room Data].[Patient Gender]" caption="Patient Gender" attribute="1" defaultMemberUniqueName="[Hospital Emergency Room Data].[Patient Gender].[All]" allUniqueName="[Hospital Emergency Room Data].[Patient Gender].[All]" dimensionUniqueName="[Hospital Emergency Room Data]" displayFolder="" count="2" memberValueDatatype="130" unbalanced="0">
      <fieldsUsage count="2">
        <fieldUsage x="-1"/>
        <fieldUsage x="1"/>
      </fieldsUsage>
    </cacheHierarchy>
    <cacheHierarchy uniqueName="[Hospital Emergency Room Data].[Patient Age]" caption="Patient Age" attribute="1" defaultMemberUniqueName="[Hospital Emergency Room Data].[Patient Age].[All]" allUniqueName="[Hospital Emergency Room Data].[Patient Age].[All]" dimensionUniqueName="[Hospital Emergency Room Data]" displayFolder="" count="0" memberValueDatatype="20" unbalanced="0"/>
    <cacheHierarchy uniqueName="[Hospital Emergency Room Data].[Patient Race]" caption="Patient Race" attribute="1" defaultMemberUniqueName="[Hospital Emergency Room Data].[Patient Race].[All]" allUniqueName="[Hospital Emergency Room Data].[Patient Race].[All]" dimensionUniqueName="[Hospital Emergency Room Data]" displayFolder="" count="0" memberValueDatatype="130" unbalanced="0"/>
    <cacheHierarchy uniqueName="[Hospital Emergency Room Data].[Department Referral]" caption="Department Referral" attribute="1" defaultMemberUniqueName="[Hospital Emergency Room Data].[Department Referral].[All]" allUniqueName="[Hospital Emergency Room Data].[Department Referral].[All]" dimensionUniqueName="[Hospital Emergency Room Data]" displayFolder="" count="0" memberValueDatatype="130" unbalanced="0"/>
    <cacheHierarchy uniqueName="[Hospital Emergency Room Data].[Patient Admission Flag]" caption="Patient Admission Flag" attribute="1" defaultMemberUniqueName="[Hospital Emergency Room Data].[Patient Admission Flag].[All]" allUniqueName="[Hospital Emergency Room Data].[Patient Admission Flag].[All]" dimensionUniqueName="[Hospital Emergency Room Data]" displayFolder="" count="0" memberValueDatatype="130" unbalanced="0"/>
    <cacheHierarchy uniqueName="[Hospital Emergency Room Data].[Patient Satisfaction Score]" caption="Patient Satisfaction Score" attribute="1" defaultMemberUniqueName="[Hospital Emergency Room Data].[Patient Satisfaction Score].[All]" allUniqueName="[Hospital Emergency Room Data].[Patient Satisfaction Score].[All]" dimensionUniqueName="[Hospital Emergency Room Data]" displayFolder="" count="0" memberValueDatatype="20" unbalanced="0"/>
    <cacheHierarchy uniqueName="[Hospital Emergency Room Data].[Patient Waittime]" caption="Patient Waittime" attribute="1" defaultMemberUniqueName="[Hospital Emergency Room Data].[Patient Waittime].[All]" allUniqueName="[Hospital Emergency Room Data].[Patient Waittime].[All]" dimensionUniqueName="[Hospital Emergency Room Data]" displayFolder="" count="0" memberValueDatatype="20" unbalanced="0"/>
    <cacheHierarchy uniqueName="[Hospital Emergency Room Data].[Age-Group]" caption="Age-Group" attribute="1" defaultMemberUniqueName="[Hospital Emergency Room Data].[Age-Group].[All]" allUniqueName="[Hospital Emergency Room Data].[Age-Group].[All]" dimensionUniqueName="[Hospital Emergency Room Data]" displayFolder="" count="0" memberValueDatatype="130" unbalanced="0"/>
    <cacheHierarchy uniqueName="[Hospital Emergency Room Data].[Patient Attend Status]" caption="Patient Attend Status" attribute="1" defaultMemberUniqueName="[Hospital Emergency Room Data].[Patient Attend Status].[All]" allUniqueName="[Hospital Emergency Room Data].[Patient Attend Status].[All]" dimensionUniqueName="[Hospital Emergency Room Data]" displayFolder="" count="0" memberValueDatatype="130" unbalanced="0"/>
    <cacheHierarchy uniqueName="[Calender_Table].[Date (Day Index)]" caption="Date (Day Index)" attribute="1" defaultMemberUniqueName="[Calender_Table].[Date (Day Index)].[All]" allUniqueName="[Calender_Table].[Date (Day Index)].[All]" dimensionUniqueName="[Calender_Table]" displayFolder="" count="0" memberValueDatatype="5" unbalanced="0" hidden="1"/>
    <cacheHierarchy uniqueName="[Calender_Table].[Date (Month Index)]" caption="Date (Month Index)" attribute="1" defaultMemberUniqueName="[Calender_Table].[Date (Month Index)].[All]" allUniqueName="[Calender_Table].[Date (Month Index)].[All]" dimensionUniqueName="[Calender_Table]" displayFolder="" count="0" memberValueDatatype="20" unbalanced="0" hidden="1"/>
    <cacheHierarchy uniqueName="[Measures].[__XL_Count Hospital Emergency Room Data]" caption="__XL_Count Hospital Emergency Room Data" measure="1" displayFolder="" measureGroup="Hospital Emergency Room Data" count="0" hidden="1"/>
    <cacheHierarchy uniqueName="[Measures].[__XL_Count Calender_Table]" caption="__XL_Count Calender_Table" measure="1" displayFolder="" measureGroup="Calender_Table" count="0" hidden="1"/>
    <cacheHierarchy uniqueName="[Measures].[__No measures defined]" caption="__No measures defined" measure="1" displayFolder="" count="0" hidden="1"/>
    <cacheHierarchy uniqueName="[Measures].[Count of Patient Id]" caption="Count of Patient Id" measure="1" displayFolder="" measureGroup="Hospital Emergency Room Data" count="0" hidden="1">
      <extLst>
        <ext xmlns:x15="http://schemas.microsoft.com/office/spreadsheetml/2010/11/main" uri="{B97F6D7D-B522-45F9-BDA1-12C45D357490}">
          <x15:cacheHierarchy aggregatedColumn="5"/>
        </ext>
      </extLst>
    </cacheHierarchy>
    <cacheHierarchy uniqueName="[Measures].[Distinct Count of Patient Id]" caption="Distinct Count of Patient Id" measure="1" displayFolder="" measureGroup="Hospital Emergency Room Data" count="0" hidden="1">
      <extLst>
        <ext xmlns:x15="http://schemas.microsoft.com/office/spreadsheetml/2010/11/main" uri="{B97F6D7D-B522-45F9-BDA1-12C45D357490}">
          <x15:cacheHierarchy aggregatedColumn="5"/>
        </ext>
      </extLst>
    </cacheHierarchy>
    <cacheHierarchy uniqueName="[Measures].[Sum of Patient Waittime]" caption="Sum of Patient Waittim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Average of Patient Waittime]" caption="Average of Patient Waittim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Sum of Patient Satisfaction Score]" caption="Sum of Patient Satisfaction Scor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Average of Patient Satisfaction Score]" caption="Average of Patient Satisfaction Scor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Count of Patient Admission Flag]" caption="Count of Patient Admission Flag" measure="1" displayFolder="" measureGroup="Hospital Emergency Room Data" count="0" hidden="1">
      <extLst>
        <ext xmlns:x15="http://schemas.microsoft.com/office/spreadsheetml/2010/11/main" uri="{B97F6D7D-B522-45F9-BDA1-12C45D357490}">
          <x15:cacheHierarchy aggregatedColumn="13"/>
        </ext>
      </extLst>
    </cacheHierarchy>
    <cacheHierarchy uniqueName="[Measures].[Count of Patient Attend Status]" caption="Count of Patient Attend Status" measure="1" displayFolder="" measureGroup="Hospital Emergency Room Data" count="0" hidden="1">
      <extLst>
        <ext xmlns:x15="http://schemas.microsoft.com/office/spreadsheetml/2010/11/main" uri="{B97F6D7D-B522-45F9-BDA1-12C45D357490}">
          <x15:cacheHierarchy aggregatedColumn="17"/>
        </ext>
      </extLst>
    </cacheHierarchy>
    <cacheHierarchy uniqueName="[Measures].[Count of Age-Group]" caption="Count of Age-Group" measure="1" displayFolder="" measureGroup="Hospital Emergency Room Data" count="0" hidden="1">
      <extLst>
        <ext xmlns:x15="http://schemas.microsoft.com/office/spreadsheetml/2010/11/main" uri="{B97F6D7D-B522-45F9-BDA1-12C45D357490}">
          <x15:cacheHierarchy aggregatedColumn="16"/>
        </ext>
      </extLst>
    </cacheHierarchy>
    <cacheHierarchy uniqueName="[Measures].[Count of Patient Waittime]" caption="Count of Patient Waittim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Count of Patient Gender]" caption="Count of Patient Gender" measure="1" displayFolder="" measureGroup="Hospital Emergency Room Data" count="0" oneField="1" hidden="1">
      <fieldsUsage count="1">
        <fieldUsage x="2"/>
      </fieldsUsage>
      <extLst>
        <ext xmlns:x15="http://schemas.microsoft.com/office/spreadsheetml/2010/11/main" uri="{B97F6D7D-B522-45F9-BDA1-12C45D357490}">
          <x15:cacheHierarchy aggregatedColumn="9"/>
        </ext>
      </extLst>
    </cacheHierarchy>
    <cacheHierarchy uniqueName="[Measures].[Count of Department Referral]" caption="Count of Department Referral" measure="1" displayFolder="" measureGroup="Hospital Emergency Room Data" count="0" hidden="1">
      <extLst>
        <ext xmlns:x15="http://schemas.microsoft.com/office/spreadsheetml/2010/11/main" uri="{B97F6D7D-B522-45F9-BDA1-12C45D357490}">
          <x15:cacheHierarchy aggregatedColumn="12"/>
        </ext>
      </extLst>
    </cacheHierarchy>
  </cacheHierarchies>
  <kpis count="0"/>
  <dimensions count="3">
    <dimension name="Calender_Table" uniqueName="[Calender_Table]" caption="Calender_Table"/>
    <dimension name="Hospital Emergency Room Data" uniqueName="[Hospital Emergency Room Data]" caption="Hospital Emergency Room Data"/>
    <dimension measure="1" name="Measures" uniqueName="[Measures]" caption="Measures"/>
  </dimensions>
  <measureGroups count="2">
    <measureGroup name="Calender_Table" caption="Calender_Table"/>
    <measureGroup name="Hospital Emergency Room Data" caption="Hospital Emergency Room Data"/>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SUS" refreshedDate="46008.882250347226" createdVersion="5" refreshedVersion="8" minRefreshableVersion="3" recordCount="0" supportSubquery="1" supportAdvancedDrill="1" xr:uid="{8A210C13-D0C8-4811-A5CC-77F5C68F5849}">
  <cacheSource type="external" connectionId="3"/>
  <cacheFields count="4">
    <cacheField name="[Calender_Table].[Date (Month)].[Date (Month)]" caption="Date (Month)" numFmtId="0" hierarchy="1" level="1">
      <sharedItems containsSemiMixedTypes="0" containsNonDate="0" containsString="0"/>
    </cacheField>
    <cacheField name="[Hospital Emergency Room Data].[Department Referral].[Department Referral]" caption="Department Referral" numFmtId="0" hierarchy="12" level="1">
      <sharedItems count="8">
        <s v="Cardiology"/>
        <s v="Gastroenterology"/>
        <s v="General Practice"/>
        <s v="Neurology"/>
        <s v="None"/>
        <s v="Orthopedics"/>
        <s v="Physiotherapy"/>
        <s v="Renal"/>
      </sharedItems>
    </cacheField>
    <cacheField name="[Measures].[Count of Department Referral]" caption="Count of Department Referral" numFmtId="0" hierarchy="34" level="32767"/>
    <cacheField name="[Calender_Table].[Date (Year)].[Date (Year)]" caption="Date (Year)" numFmtId="0" hierarchy="3" level="1">
      <sharedItems containsSemiMixedTypes="0" containsNonDate="0" containsString="0"/>
    </cacheField>
  </cacheFields>
  <cacheHierarchies count="35">
    <cacheHierarchy uniqueName="[Calender_Table].[Date]" caption="Date" attribute="1" time="1" defaultMemberUniqueName="[Calender_Table].[Date].[All]" allUniqueName="[Calender_Table].[Date].[All]" dimensionUniqueName="[Calender_Table]" displayFolder="" count="0" memberValueDatatype="7" unbalanced="0"/>
    <cacheHierarchy uniqueName="[Calender_Table].[Date (Month)]" caption="Date (Month)" attribute="1" defaultMemberUniqueName="[Calender_Table].[Date (Month)].[All]" allUniqueName="[Calender_Table].[Date (Month)].[All]" dimensionUniqueName="[Calender_Table]" displayFolder="" count="2" memberValueDatatype="130" unbalanced="0">
      <fieldsUsage count="2">
        <fieldUsage x="-1"/>
        <fieldUsage x="0"/>
      </fieldsUsage>
    </cacheHierarchy>
    <cacheHierarchy uniqueName="[Calender_Table].[Date (Day)]" caption="Date (Day)" attribute="1" defaultMemberUniqueName="[Calender_Table].[Date (Day)].[All]" allUniqueName="[Calender_Table].[Date (Day)].[All]" dimensionUniqueName="[Calender_Table]" displayFolder="" count="0" memberValueDatatype="130" unbalanced="0"/>
    <cacheHierarchy uniqueName="[Calender_Table].[Date (Year)]" caption="Date (Year)" attribute="1" defaultMemberUniqueName="[Calender_Table].[Date (Year)].[All]" allUniqueName="[Calender_Table].[Date (Year)].[All]" dimensionUniqueName="[Calender_Table]" displayFolder="" count="2" memberValueDatatype="130" unbalanced="0">
      <fieldsUsage count="2">
        <fieldUsage x="-1"/>
        <fieldUsage x="3"/>
      </fieldsUsage>
    </cacheHierarchy>
    <cacheHierarchy uniqueName="[Calender_Table].[Date (Quarter)]" caption="Date (Quarter)" attribute="1" defaultMemberUniqueName="[Calender_Table].[Date (Quarter)].[All]" allUniqueName="[Calender_Table].[Date (Quarter)].[All]" dimensionUniqueName="[Calender_Table]" displayFolder="" count="0" memberValueDatatype="130" unbalanced="0"/>
    <cacheHierarchy uniqueName="[Hospital Emergency Room Data].[Patient Id]" caption="Patient Id" attribute="1" defaultMemberUniqueName="[Hospital Emergency Room Data].[Patient Id].[All]" allUniqueName="[Hospital Emergency Room Data].[Patient Id].[All]" dimensionUniqueName="[Hospital Emergency Room Data]" displayFolder="" count="0" memberValueDatatype="130" unbalanced="0"/>
    <cacheHierarchy uniqueName="[Hospital Emergency Room Data].[Patient Admission Date]" caption="Patient Admission Date" attribute="1" time="1" defaultMemberUniqueName="[Hospital Emergency Room Data].[Patient Admission Date].[All]" allUniqueName="[Hospital Emergency Room Data].[Patient Admission Date].[All]" dimensionUniqueName="[Hospital Emergency Room Data]" displayFolder="" count="0" memberValueDatatype="7" unbalanced="0"/>
    <cacheHierarchy uniqueName="[Hospital Emergency Room Data].[Patient Admission Time]" caption="Patient Admission Time" attribute="1" time="1" defaultMemberUniqueName="[Hospital Emergency Room Data].[Patient Admission Time].[All]" allUniqueName="[Hospital Emergency Room Data].[Patient Admission Time].[All]" dimensionUniqueName="[Hospital Emergency Room Data]" displayFolder="" count="0" memberValueDatatype="7" unbalanced="0"/>
    <cacheHierarchy uniqueName="[Hospital Emergency Room Data].[Merged]" caption="Merged" attribute="1" defaultMemberUniqueName="[Hospital Emergency Room Data].[Merged].[All]" allUniqueName="[Hospital Emergency Room Data].[Merged].[All]" dimensionUniqueName="[Hospital Emergency Room Data]" displayFolder="" count="0" memberValueDatatype="130" unbalanced="0"/>
    <cacheHierarchy uniqueName="[Hospital Emergency Room Data].[Patient Gender]" caption="Patient Gender" attribute="1" defaultMemberUniqueName="[Hospital Emergency Room Data].[Patient Gender].[All]" allUniqueName="[Hospital Emergency Room Data].[Patient Gender].[All]" dimensionUniqueName="[Hospital Emergency Room Data]" displayFolder="" count="0" memberValueDatatype="130" unbalanced="0"/>
    <cacheHierarchy uniqueName="[Hospital Emergency Room Data].[Patient Age]" caption="Patient Age" attribute="1" defaultMemberUniqueName="[Hospital Emergency Room Data].[Patient Age].[All]" allUniqueName="[Hospital Emergency Room Data].[Patient Age].[All]" dimensionUniqueName="[Hospital Emergency Room Data]" displayFolder="" count="0" memberValueDatatype="20" unbalanced="0"/>
    <cacheHierarchy uniqueName="[Hospital Emergency Room Data].[Patient Race]" caption="Patient Race" attribute="1" defaultMemberUniqueName="[Hospital Emergency Room Data].[Patient Race].[All]" allUniqueName="[Hospital Emergency Room Data].[Patient Race].[All]" dimensionUniqueName="[Hospital Emergency Room Data]" displayFolder="" count="0" memberValueDatatype="130" unbalanced="0"/>
    <cacheHierarchy uniqueName="[Hospital Emergency Room Data].[Department Referral]" caption="Department Referral" attribute="1" defaultMemberUniqueName="[Hospital Emergency Room Data].[Department Referral].[All]" allUniqueName="[Hospital Emergency Room Data].[Department Referral].[All]" dimensionUniqueName="[Hospital Emergency Room Data]" displayFolder="" count="2" memberValueDatatype="130" unbalanced="0">
      <fieldsUsage count="2">
        <fieldUsage x="-1"/>
        <fieldUsage x="1"/>
      </fieldsUsage>
    </cacheHierarchy>
    <cacheHierarchy uniqueName="[Hospital Emergency Room Data].[Patient Admission Flag]" caption="Patient Admission Flag" attribute="1" defaultMemberUniqueName="[Hospital Emergency Room Data].[Patient Admission Flag].[All]" allUniqueName="[Hospital Emergency Room Data].[Patient Admission Flag].[All]" dimensionUniqueName="[Hospital Emergency Room Data]" displayFolder="" count="0" memberValueDatatype="130" unbalanced="0"/>
    <cacheHierarchy uniqueName="[Hospital Emergency Room Data].[Patient Satisfaction Score]" caption="Patient Satisfaction Score" attribute="1" defaultMemberUniqueName="[Hospital Emergency Room Data].[Patient Satisfaction Score].[All]" allUniqueName="[Hospital Emergency Room Data].[Patient Satisfaction Score].[All]" dimensionUniqueName="[Hospital Emergency Room Data]" displayFolder="" count="0" memberValueDatatype="20" unbalanced="0"/>
    <cacheHierarchy uniqueName="[Hospital Emergency Room Data].[Patient Waittime]" caption="Patient Waittime" attribute="1" defaultMemberUniqueName="[Hospital Emergency Room Data].[Patient Waittime].[All]" allUniqueName="[Hospital Emergency Room Data].[Patient Waittime].[All]" dimensionUniqueName="[Hospital Emergency Room Data]" displayFolder="" count="0" memberValueDatatype="20" unbalanced="0"/>
    <cacheHierarchy uniqueName="[Hospital Emergency Room Data].[Age-Group]" caption="Age-Group" attribute="1" defaultMemberUniqueName="[Hospital Emergency Room Data].[Age-Group].[All]" allUniqueName="[Hospital Emergency Room Data].[Age-Group].[All]" dimensionUniqueName="[Hospital Emergency Room Data]" displayFolder="" count="0" memberValueDatatype="130" unbalanced="0"/>
    <cacheHierarchy uniqueName="[Hospital Emergency Room Data].[Patient Attend Status]" caption="Patient Attend Status" attribute="1" defaultMemberUniqueName="[Hospital Emergency Room Data].[Patient Attend Status].[All]" allUniqueName="[Hospital Emergency Room Data].[Patient Attend Status].[All]" dimensionUniqueName="[Hospital Emergency Room Data]" displayFolder="" count="0" memberValueDatatype="130" unbalanced="0"/>
    <cacheHierarchy uniqueName="[Calender_Table].[Date (Day Index)]" caption="Date (Day Index)" attribute="1" defaultMemberUniqueName="[Calender_Table].[Date (Day Index)].[All]" allUniqueName="[Calender_Table].[Date (Day Index)].[All]" dimensionUniqueName="[Calender_Table]" displayFolder="" count="0" memberValueDatatype="5" unbalanced="0" hidden="1"/>
    <cacheHierarchy uniqueName="[Calender_Table].[Date (Month Index)]" caption="Date (Month Index)" attribute="1" defaultMemberUniqueName="[Calender_Table].[Date (Month Index)].[All]" allUniqueName="[Calender_Table].[Date (Month Index)].[All]" dimensionUniqueName="[Calender_Table]" displayFolder="" count="0" memberValueDatatype="20" unbalanced="0" hidden="1"/>
    <cacheHierarchy uniqueName="[Measures].[__XL_Count Hospital Emergency Room Data]" caption="__XL_Count Hospital Emergency Room Data" measure="1" displayFolder="" measureGroup="Hospital Emergency Room Data" count="0" hidden="1"/>
    <cacheHierarchy uniqueName="[Measures].[__XL_Count Calender_Table]" caption="__XL_Count Calender_Table" measure="1" displayFolder="" measureGroup="Calender_Table" count="0" hidden="1"/>
    <cacheHierarchy uniqueName="[Measures].[__No measures defined]" caption="__No measures defined" measure="1" displayFolder="" count="0" hidden="1"/>
    <cacheHierarchy uniqueName="[Measures].[Count of Patient Id]" caption="Count of Patient Id" measure="1" displayFolder="" measureGroup="Hospital Emergency Room Data" count="0" hidden="1">
      <extLst>
        <ext xmlns:x15="http://schemas.microsoft.com/office/spreadsheetml/2010/11/main" uri="{B97F6D7D-B522-45F9-BDA1-12C45D357490}">
          <x15:cacheHierarchy aggregatedColumn="5"/>
        </ext>
      </extLst>
    </cacheHierarchy>
    <cacheHierarchy uniqueName="[Measures].[Distinct Count of Patient Id]" caption="Distinct Count of Patient Id" measure="1" displayFolder="" measureGroup="Hospital Emergency Room Data" count="0" hidden="1">
      <extLst>
        <ext xmlns:x15="http://schemas.microsoft.com/office/spreadsheetml/2010/11/main" uri="{B97F6D7D-B522-45F9-BDA1-12C45D357490}">
          <x15:cacheHierarchy aggregatedColumn="5"/>
        </ext>
      </extLst>
    </cacheHierarchy>
    <cacheHierarchy uniqueName="[Measures].[Sum of Patient Waittime]" caption="Sum of Patient Waittim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Average of Patient Waittime]" caption="Average of Patient Waittim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Sum of Patient Satisfaction Score]" caption="Sum of Patient Satisfaction Scor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Average of Patient Satisfaction Score]" caption="Average of Patient Satisfaction Scor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Count of Patient Admission Flag]" caption="Count of Patient Admission Flag" measure="1" displayFolder="" measureGroup="Hospital Emergency Room Data" count="0" hidden="1">
      <extLst>
        <ext xmlns:x15="http://schemas.microsoft.com/office/spreadsheetml/2010/11/main" uri="{B97F6D7D-B522-45F9-BDA1-12C45D357490}">
          <x15:cacheHierarchy aggregatedColumn="13"/>
        </ext>
      </extLst>
    </cacheHierarchy>
    <cacheHierarchy uniqueName="[Measures].[Count of Patient Attend Status]" caption="Count of Patient Attend Status" measure="1" displayFolder="" measureGroup="Hospital Emergency Room Data" count="0" hidden="1">
      <extLst>
        <ext xmlns:x15="http://schemas.microsoft.com/office/spreadsheetml/2010/11/main" uri="{B97F6D7D-B522-45F9-BDA1-12C45D357490}">
          <x15:cacheHierarchy aggregatedColumn="17"/>
        </ext>
      </extLst>
    </cacheHierarchy>
    <cacheHierarchy uniqueName="[Measures].[Count of Age-Group]" caption="Count of Age-Group" measure="1" displayFolder="" measureGroup="Hospital Emergency Room Data" count="0" hidden="1">
      <extLst>
        <ext xmlns:x15="http://schemas.microsoft.com/office/spreadsheetml/2010/11/main" uri="{B97F6D7D-B522-45F9-BDA1-12C45D357490}">
          <x15:cacheHierarchy aggregatedColumn="16"/>
        </ext>
      </extLst>
    </cacheHierarchy>
    <cacheHierarchy uniqueName="[Measures].[Count of Patient Waittime]" caption="Count of Patient Waittim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Count of Patient Gender]" caption="Count of Patient Gender" measure="1" displayFolder="" measureGroup="Hospital Emergency Room Data" count="0" hidden="1">
      <extLst>
        <ext xmlns:x15="http://schemas.microsoft.com/office/spreadsheetml/2010/11/main" uri="{B97F6D7D-B522-45F9-BDA1-12C45D357490}">
          <x15:cacheHierarchy aggregatedColumn="9"/>
        </ext>
      </extLst>
    </cacheHierarchy>
    <cacheHierarchy uniqueName="[Measures].[Count of Department Referral]" caption="Count of Department Referral" measure="1" displayFolder="" measureGroup="Hospital Emergency Room Data" count="0" oneField="1" hidden="1">
      <fieldsUsage count="1">
        <fieldUsage x="2"/>
      </fieldsUsage>
      <extLst>
        <ext xmlns:x15="http://schemas.microsoft.com/office/spreadsheetml/2010/11/main" uri="{B97F6D7D-B522-45F9-BDA1-12C45D357490}">
          <x15:cacheHierarchy aggregatedColumn="12"/>
        </ext>
      </extLst>
    </cacheHierarchy>
  </cacheHierarchies>
  <kpis count="0"/>
  <dimensions count="3">
    <dimension name="Calender_Table" uniqueName="[Calender_Table]" caption="Calender_Table"/>
    <dimension name="Hospital Emergency Room Data" uniqueName="[Hospital Emergency Room Data]" caption="Hospital Emergency Room Data"/>
    <dimension measure="1" name="Measures" uniqueName="[Measures]" caption="Measures"/>
  </dimensions>
  <measureGroups count="2">
    <measureGroup name="Calender_Table" caption="Calender_Table"/>
    <measureGroup name="Hospital Emergency Room Data" caption="Hospital Emergency Room Data"/>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SUS" refreshedDate="46008.882250694442" createdVersion="5" refreshedVersion="8" minRefreshableVersion="3" recordCount="0" supportSubquery="1" supportAdvancedDrill="1" xr:uid="{62A19B84-398E-4F76-8F35-CD245A657163}">
  <cacheSource type="external" connectionId="3"/>
  <cacheFields count="4">
    <cacheField name="[Calender_Table].[Date (Month)].[Date (Month)]" caption="Date (Month)" numFmtId="0" hierarchy="1" level="1">
      <sharedItems count="1">
        <s v="Jan"/>
      </sharedItems>
    </cacheField>
    <cacheField name="[Calender_Table].[Date].[Date]" caption="Date" numFmtId="0" level="1">
      <sharedItems containsSemiMixedTypes="0" containsNonDate="0" containsDate="1" containsString="0" minDate="2023-01-01T00:00:00" maxDate="2024-02-01T00:00:00" count="62">
        <d v="2023-01-01T00:00:00"/>
        <d v="2023-01-02T00:00:00"/>
        <d v="2023-01-03T00:00:00"/>
        <d v="2023-01-04T00:00:00"/>
        <d v="2023-01-05T00:00:00"/>
        <d v="2023-01-06T00:00:00"/>
        <d v="2023-01-07T00:00:00"/>
        <d v="2023-01-08T00:00:00"/>
        <d v="2023-01-09T00:00:00"/>
        <d v="2023-01-10T00:00:00"/>
        <d v="2023-01-11T00:00:00"/>
        <d v="2023-01-12T00:00:00"/>
        <d v="2023-01-13T00:00:00"/>
        <d v="2023-01-14T00:00:00"/>
        <d v="2023-01-15T00:00:00"/>
        <d v="2023-01-16T00:00:00"/>
        <d v="2023-01-17T00:00:00"/>
        <d v="2023-01-18T00:00:00"/>
        <d v="2023-01-19T00:00:00"/>
        <d v="2023-01-20T00:00:00"/>
        <d v="2023-01-21T00:00:00"/>
        <d v="2023-01-22T00:00:00"/>
        <d v="2023-01-23T00:00:00"/>
        <d v="2023-01-24T00:00:00"/>
        <d v="2023-01-25T00:00:00"/>
        <d v="2023-01-26T00:00:00"/>
        <d v="2023-01-27T00:00:00"/>
        <d v="2023-01-28T00:00:00"/>
        <d v="2023-01-29T00:00:00"/>
        <d v="2023-01-30T00:00:00"/>
        <d v="2023-01-31T00:00:00"/>
        <d v="2024-01-01T00:00:00"/>
        <d v="2024-01-02T00:00:00"/>
        <d v="2024-01-03T00:00:00"/>
        <d v="2024-01-04T00:00:00"/>
        <d v="2024-01-05T00:00:00"/>
        <d v="2024-01-06T00:00:00"/>
        <d v="2024-01-07T00:00:00"/>
        <d v="2024-01-08T00:00:00"/>
        <d v="2024-01-09T00:00:00"/>
        <d v="2024-01-10T00:00:00"/>
        <d v="2024-01-11T00:00:00"/>
        <d v="2024-01-12T00:00:00"/>
        <d v="2024-01-13T00:00:00"/>
        <d v="2024-01-14T00:00:00"/>
        <d v="2024-01-15T00:00:00"/>
        <d v="2024-01-16T00:00:00"/>
        <d v="2024-01-17T00:00:00"/>
        <d v="2024-01-18T00:00:00"/>
        <d v="2024-01-19T00:00:00"/>
        <d v="2024-01-20T00:00:00"/>
        <d v="2024-01-21T00:00:00"/>
        <d v="2024-01-22T00:00:00"/>
        <d v="2024-01-23T00:00:00"/>
        <d v="2024-01-24T00:00:00"/>
        <d v="2024-01-25T00:00:00"/>
        <d v="2024-01-26T00:00:00"/>
        <d v="2024-01-27T00:00:00"/>
        <d v="2024-01-28T00:00:00"/>
        <d v="2024-01-29T00:00:00"/>
        <d v="2024-01-30T00:00:00"/>
        <d v="2024-01-31T00:00:00"/>
      </sharedItems>
    </cacheField>
    <cacheField name="[Calender_Table].[Date (Quarter)].[Date (Quarter)]" caption="Date (Quarter)" numFmtId="0" hierarchy="4" level="1">
      <sharedItems count="1">
        <s v="Qtr1"/>
      </sharedItems>
    </cacheField>
    <cacheField name="[Calender_Table].[Date (Year)].[Date (Year)]" caption="Date (Year)" numFmtId="0" hierarchy="3" level="1">
      <sharedItems count="1">
        <s v="2024"/>
      </sharedItems>
    </cacheField>
  </cacheFields>
  <cacheHierarchies count="35">
    <cacheHierarchy uniqueName="[Calender_Table].[Date]" caption="Date" attribute="1" time="1" defaultMemberUniqueName="[Calender_Table].[Date].[All]" allUniqueName="[Calender_Table].[Date].[All]" dimensionUniqueName="[Calender_Table]" displayFolder="" count="2" memberValueDatatype="7" unbalanced="0">
      <fieldsUsage count="2">
        <fieldUsage x="-1"/>
        <fieldUsage x="1"/>
      </fieldsUsage>
    </cacheHierarchy>
    <cacheHierarchy uniqueName="[Calender_Table].[Date (Month)]" caption="Date (Month)" attribute="1" defaultMemberUniqueName="[Calender_Table].[Date (Month)].[All]" allUniqueName="[Calender_Table].[Date (Month)].[All]" dimensionUniqueName="[Calender_Table]" displayFolder="" count="2" memberValueDatatype="130" unbalanced="0">
      <fieldsUsage count="2">
        <fieldUsage x="-1"/>
        <fieldUsage x="0"/>
      </fieldsUsage>
    </cacheHierarchy>
    <cacheHierarchy uniqueName="[Calender_Table].[Date (Day)]" caption="Date (Day)" attribute="1" defaultMemberUniqueName="[Calender_Table].[Date (Day)].[All]" allUniqueName="[Calender_Table].[Date (Day)].[All]" dimensionUniqueName="[Calender_Table]" displayFolder="" count="2" memberValueDatatype="130" unbalanced="0"/>
    <cacheHierarchy uniqueName="[Calender_Table].[Date (Year)]" caption="Date (Year)" attribute="1" defaultMemberUniqueName="[Calender_Table].[Date (Year)].[All]" allUniqueName="[Calender_Table].[Date (Year)].[All]" dimensionUniqueName="[Calender_Table]" displayFolder="" count="2" memberValueDatatype="130" unbalanced="0">
      <fieldsUsage count="2">
        <fieldUsage x="-1"/>
        <fieldUsage x="3"/>
      </fieldsUsage>
    </cacheHierarchy>
    <cacheHierarchy uniqueName="[Calender_Table].[Date (Quarter)]" caption="Date (Quarter)" attribute="1" defaultMemberUniqueName="[Calender_Table].[Date (Quarter)].[All]" allUniqueName="[Calender_Table].[Date (Quarter)].[All]" dimensionUniqueName="[Calender_Table]" displayFolder="" count="2" memberValueDatatype="130" unbalanced="0">
      <fieldsUsage count="2">
        <fieldUsage x="-1"/>
        <fieldUsage x="2"/>
      </fieldsUsage>
    </cacheHierarchy>
    <cacheHierarchy uniqueName="[Hospital Emergency Room Data].[Patient Id]" caption="Patient Id" attribute="1" defaultMemberUniqueName="[Hospital Emergency Room Data].[Patient Id].[All]" allUniqueName="[Hospital Emergency Room Data].[Patient Id].[All]" dimensionUniqueName="[Hospital Emergency Room Data]" displayFolder="" count="2" memberValueDatatype="130" unbalanced="0"/>
    <cacheHierarchy uniqueName="[Hospital Emergency Room Data].[Patient Admission Date]" caption="Patient Admission Date" attribute="1" time="1" defaultMemberUniqueName="[Hospital Emergency Room Data].[Patient Admission Date].[All]" allUniqueName="[Hospital Emergency Room Data].[Patient Admission Date].[All]" dimensionUniqueName="[Hospital Emergency Room Data]" displayFolder="" count="2" memberValueDatatype="7" unbalanced="0"/>
    <cacheHierarchy uniqueName="[Hospital Emergency Room Data].[Patient Admission Time]" caption="Patient Admission Time" attribute="1" time="1" defaultMemberUniqueName="[Hospital Emergency Room Data].[Patient Admission Time].[All]" allUniqueName="[Hospital Emergency Room Data].[Patient Admission Time].[All]" dimensionUniqueName="[Hospital Emergency Room Data]" displayFolder="" count="2" memberValueDatatype="7" unbalanced="0"/>
    <cacheHierarchy uniqueName="[Hospital Emergency Room Data].[Merged]" caption="Merged" attribute="1" defaultMemberUniqueName="[Hospital Emergency Room Data].[Merged].[All]" allUniqueName="[Hospital Emergency Room Data].[Merged].[All]" dimensionUniqueName="[Hospital Emergency Room Data]" displayFolder="" count="2" memberValueDatatype="130" unbalanced="0"/>
    <cacheHierarchy uniqueName="[Hospital Emergency Room Data].[Patient Gender]" caption="Patient Gender" attribute="1" defaultMemberUniqueName="[Hospital Emergency Room Data].[Patient Gender].[All]" allUniqueName="[Hospital Emergency Room Data].[Patient Gender].[All]" dimensionUniqueName="[Hospital Emergency Room Data]" displayFolder="" count="2" memberValueDatatype="130" unbalanced="0"/>
    <cacheHierarchy uniqueName="[Hospital Emergency Room Data].[Patient Age]" caption="Patient Age" attribute="1" defaultMemberUniqueName="[Hospital Emergency Room Data].[Patient Age].[All]" allUniqueName="[Hospital Emergency Room Data].[Patient Age].[All]" dimensionUniqueName="[Hospital Emergency Room Data]" displayFolder="" count="2" memberValueDatatype="20" unbalanced="0"/>
    <cacheHierarchy uniqueName="[Hospital Emergency Room Data].[Patient Race]" caption="Patient Race" attribute="1" defaultMemberUniqueName="[Hospital Emergency Room Data].[Patient Race].[All]" allUniqueName="[Hospital Emergency Room Data].[Patient Race].[All]" dimensionUniqueName="[Hospital Emergency Room Data]" displayFolder="" count="2" memberValueDatatype="130" unbalanced="0"/>
    <cacheHierarchy uniqueName="[Hospital Emergency Room Data].[Department Referral]" caption="Department Referral" attribute="1" defaultMemberUniqueName="[Hospital Emergency Room Data].[Department Referral].[All]" allUniqueName="[Hospital Emergency Room Data].[Department Referral].[All]" dimensionUniqueName="[Hospital Emergency Room Data]" displayFolder="" count="2" memberValueDatatype="130" unbalanced="0"/>
    <cacheHierarchy uniqueName="[Hospital Emergency Room Data].[Patient Admission Flag]" caption="Patient Admission Flag" attribute="1" defaultMemberUniqueName="[Hospital Emergency Room Data].[Patient Admission Flag].[All]" allUniqueName="[Hospital Emergency Room Data].[Patient Admission Flag].[All]" dimensionUniqueName="[Hospital Emergency Room Data]" displayFolder="" count="2" memberValueDatatype="130" unbalanced="0"/>
    <cacheHierarchy uniqueName="[Hospital Emergency Room Data].[Patient Satisfaction Score]" caption="Patient Satisfaction Score" attribute="1" defaultMemberUniqueName="[Hospital Emergency Room Data].[Patient Satisfaction Score].[All]" allUniqueName="[Hospital Emergency Room Data].[Patient Satisfaction Score].[All]" dimensionUniqueName="[Hospital Emergency Room Data]" displayFolder="" count="2" memberValueDatatype="20" unbalanced="0"/>
    <cacheHierarchy uniqueName="[Hospital Emergency Room Data].[Patient Waittime]" caption="Patient Waittime" attribute="1" defaultMemberUniqueName="[Hospital Emergency Room Data].[Patient Waittime].[All]" allUniqueName="[Hospital Emergency Room Data].[Patient Waittime].[All]" dimensionUniqueName="[Hospital Emergency Room Data]" displayFolder="" count="2" memberValueDatatype="20" unbalanced="0"/>
    <cacheHierarchy uniqueName="[Hospital Emergency Room Data].[Age-Group]" caption="Age-Group" attribute="1" defaultMemberUniqueName="[Hospital Emergency Room Data].[Age-Group].[All]" allUniqueName="[Hospital Emergency Room Data].[Age-Group].[All]" dimensionUniqueName="[Hospital Emergency Room Data]" displayFolder="" count="2" memberValueDatatype="130" unbalanced="0"/>
    <cacheHierarchy uniqueName="[Hospital Emergency Room Data].[Patient Attend Status]" caption="Patient Attend Status" attribute="1" defaultMemberUniqueName="[Hospital Emergency Room Data].[Patient Attend Status].[All]" allUniqueName="[Hospital Emergency Room Data].[Patient Attend Status].[All]" dimensionUniqueName="[Hospital Emergency Room Data]" displayFolder="" count="2" memberValueDatatype="130" unbalanced="0"/>
    <cacheHierarchy uniqueName="[Calender_Table].[Date (Day Index)]" caption="Date (Day Index)" attribute="1" defaultMemberUniqueName="[Calender_Table].[Date (Day Index)].[All]" allUniqueName="[Calender_Table].[Date (Day Index)].[All]" dimensionUniqueName="[Calender_Table]" displayFolder="" count="2" memberValueDatatype="5" unbalanced="0" hidden="1"/>
    <cacheHierarchy uniqueName="[Calender_Table].[Date (Month Index)]" caption="Date (Month Index)" attribute="1" defaultMemberUniqueName="[Calender_Table].[Date (Month Index)].[All]" allUniqueName="[Calender_Table].[Date (Month Index)].[All]" dimensionUniqueName="[Calender_Table]" displayFolder="" count="2" memberValueDatatype="20" unbalanced="0" hidden="1"/>
    <cacheHierarchy uniqueName="[Measures].[__XL_Count Hospital Emergency Room Data]" caption="__XL_Count Hospital Emergency Room Data" measure="1" displayFolder="" measureGroup="Hospital Emergency Room Data" count="0" hidden="1"/>
    <cacheHierarchy uniqueName="[Measures].[__XL_Count Calender_Table]" caption="__XL_Count Calender_Table" measure="1" displayFolder="" measureGroup="Calender_Table" count="0" hidden="1"/>
    <cacheHierarchy uniqueName="[Measures].[__No measures defined]" caption="__No measures defined" measure="1" displayFolder="" count="0" hidden="1"/>
    <cacheHierarchy uniqueName="[Measures].[Count of Patient Id]" caption="Count of Patient Id" measure="1" displayFolder="" measureGroup="Hospital Emergency Room Data" count="0" hidden="1">
      <extLst>
        <ext xmlns:x15="http://schemas.microsoft.com/office/spreadsheetml/2010/11/main" uri="{B97F6D7D-B522-45F9-BDA1-12C45D357490}">
          <x15:cacheHierarchy aggregatedColumn="5"/>
        </ext>
      </extLst>
    </cacheHierarchy>
    <cacheHierarchy uniqueName="[Measures].[Distinct Count of Patient Id]" caption="Distinct Count of Patient Id" measure="1" displayFolder="" measureGroup="Hospital Emergency Room Data" count="0" hidden="1">
      <extLst>
        <ext xmlns:x15="http://schemas.microsoft.com/office/spreadsheetml/2010/11/main" uri="{B97F6D7D-B522-45F9-BDA1-12C45D357490}">
          <x15:cacheHierarchy aggregatedColumn="5"/>
        </ext>
      </extLst>
    </cacheHierarchy>
    <cacheHierarchy uniqueName="[Measures].[Sum of Patient Waittime]" caption="Sum of Patient Waittim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Average of Patient Waittime]" caption="Average of Patient Waittim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Sum of Patient Satisfaction Score]" caption="Sum of Patient Satisfaction Scor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Average of Patient Satisfaction Score]" caption="Average of Patient Satisfaction Scor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Count of Patient Admission Flag]" caption="Count of Patient Admission Flag" measure="1" displayFolder="" measureGroup="Hospital Emergency Room Data" count="0" hidden="1">
      <extLst>
        <ext xmlns:x15="http://schemas.microsoft.com/office/spreadsheetml/2010/11/main" uri="{B97F6D7D-B522-45F9-BDA1-12C45D357490}">
          <x15:cacheHierarchy aggregatedColumn="13"/>
        </ext>
      </extLst>
    </cacheHierarchy>
    <cacheHierarchy uniqueName="[Measures].[Count of Patient Attend Status]" caption="Count of Patient Attend Status" measure="1" displayFolder="" measureGroup="Hospital Emergency Room Data" count="0" hidden="1">
      <extLst>
        <ext xmlns:x15="http://schemas.microsoft.com/office/spreadsheetml/2010/11/main" uri="{B97F6D7D-B522-45F9-BDA1-12C45D357490}">
          <x15:cacheHierarchy aggregatedColumn="17"/>
        </ext>
      </extLst>
    </cacheHierarchy>
    <cacheHierarchy uniqueName="[Measures].[Count of Age-Group]" caption="Count of Age-Group" measure="1" displayFolder="" measureGroup="Hospital Emergency Room Data" count="0" hidden="1">
      <extLst>
        <ext xmlns:x15="http://schemas.microsoft.com/office/spreadsheetml/2010/11/main" uri="{B97F6D7D-B522-45F9-BDA1-12C45D357490}">
          <x15:cacheHierarchy aggregatedColumn="16"/>
        </ext>
      </extLst>
    </cacheHierarchy>
    <cacheHierarchy uniqueName="[Measures].[Count of Patient Waittime]" caption="Count of Patient Waittim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Count of Patient Gender]" caption="Count of Patient Gender" measure="1" displayFolder="" measureGroup="Hospital Emergency Room Data" count="0" hidden="1">
      <extLst>
        <ext xmlns:x15="http://schemas.microsoft.com/office/spreadsheetml/2010/11/main" uri="{B97F6D7D-B522-45F9-BDA1-12C45D357490}">
          <x15:cacheHierarchy aggregatedColumn="9"/>
        </ext>
      </extLst>
    </cacheHierarchy>
    <cacheHierarchy uniqueName="[Measures].[Count of Department Referral]" caption="Count of Department Referral" measure="1" displayFolder="" measureGroup="Hospital Emergency Room Data" count="0" hidden="1">
      <extLst>
        <ext xmlns:x15="http://schemas.microsoft.com/office/spreadsheetml/2010/11/main" uri="{B97F6D7D-B522-45F9-BDA1-12C45D357490}">
          <x15:cacheHierarchy aggregatedColumn="12"/>
        </ext>
      </extLst>
    </cacheHierarchy>
  </cacheHierarchies>
  <kpis count="0"/>
  <dimensions count="3">
    <dimension name="Calender_Table" uniqueName="[Calender_Table]" caption="Calender_Table"/>
    <dimension name="Hospital Emergency Room Data" uniqueName="[Hospital Emergency Room Data]" caption="Hospital Emergency Room Data"/>
    <dimension measure="1" name="Measures" uniqueName="[Measures]" caption="Measures"/>
  </dimensions>
  <measureGroups count="2">
    <measureGroup name="Calender_Table" caption="Calender_Table"/>
    <measureGroup name="Hospital Emergency Room Data" caption="Hospital Emergency Room Data"/>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SUS" refreshedDate="46006.803835648148" createdVersion="3" refreshedVersion="8" minRefreshableVersion="3" recordCount="0" supportSubquery="1" supportAdvancedDrill="1" xr:uid="{33463C80-3864-4A04-9EAF-F5FDCE8AE6E7}">
  <cacheSource type="external" connectionId="3">
    <extLst>
      <ext xmlns:x14="http://schemas.microsoft.com/office/spreadsheetml/2009/9/main" uri="{F057638F-6D5F-4e77-A914-E7F072B9BCA8}">
        <x14:sourceConnection name="ThisWorkbookDataModel"/>
      </ext>
    </extLst>
  </cacheSource>
  <cacheFields count="0"/>
  <cacheHierarchies count="35">
    <cacheHierarchy uniqueName="[Calender_Table].[Date]" caption="Date" attribute="1" time="1" defaultMemberUniqueName="[Calender_Table].[Date].[All]" allUniqueName="[Calender_Table].[Date].[All]" dimensionUniqueName="[Calender_Table]" displayFolder="" count="0" memberValueDatatype="7" unbalanced="0"/>
    <cacheHierarchy uniqueName="[Calender_Table].[Date (Month)]" caption="Date (Month)" attribute="1" defaultMemberUniqueName="[Calender_Table].[Date (Month)].[All]" allUniqueName="[Calender_Table].[Date (Month)].[All]" dimensionUniqueName="[Calender_Table]" displayFolder="" count="2" memberValueDatatype="130" unbalanced="0"/>
    <cacheHierarchy uniqueName="[Calender_Table].[Date (Day)]" caption="Date (Day)" attribute="1" defaultMemberUniqueName="[Calender_Table].[Date (Day)].[All]" allUniqueName="[Calender_Table].[Date (Day)].[All]" dimensionUniqueName="[Calender_Table]" displayFolder="" count="0" memberValueDatatype="130" unbalanced="0"/>
    <cacheHierarchy uniqueName="[Calender_Table].[Date (Year)]" caption="Date (Year)" attribute="1" defaultMemberUniqueName="[Calender_Table].[Date (Year)].[All]" allUniqueName="[Calender_Table].[Date (Year)].[All]" dimensionUniqueName="[Calender_Table]" displayFolder="" count="2" memberValueDatatype="130" unbalanced="0"/>
    <cacheHierarchy uniqueName="[Calender_Table].[Date (Quarter)]" caption="Date (Quarter)" attribute="1" defaultMemberUniqueName="[Calender_Table].[Date (Quarter)].[All]" allUniqueName="[Calender_Table].[Date (Quarter)].[All]" dimensionUniqueName="[Calender_Table]" displayFolder="" count="0" memberValueDatatype="130" unbalanced="0"/>
    <cacheHierarchy uniqueName="[Hospital Emergency Room Data].[Patient Id]" caption="Patient Id" attribute="1" defaultMemberUniqueName="[Hospital Emergency Room Data].[Patient Id].[All]" allUniqueName="[Hospital Emergency Room Data].[Patient Id].[All]" dimensionUniqueName="[Hospital Emergency Room Data]" displayFolder="" count="0" memberValueDatatype="130" unbalanced="0"/>
    <cacheHierarchy uniqueName="[Hospital Emergency Room Data].[Patient Admission Date]" caption="Patient Admission Date" attribute="1" time="1" defaultMemberUniqueName="[Hospital Emergency Room Data].[Patient Admission Date].[All]" allUniqueName="[Hospital Emergency Room Data].[Patient Admission Date].[All]" dimensionUniqueName="[Hospital Emergency Room Data]" displayFolder="" count="0" memberValueDatatype="7" unbalanced="0"/>
    <cacheHierarchy uniqueName="[Hospital Emergency Room Data].[Patient Admission Time]" caption="Patient Admission Time" attribute="1" time="1" defaultMemberUniqueName="[Hospital Emergency Room Data].[Patient Admission Time].[All]" allUniqueName="[Hospital Emergency Room Data].[Patient Admission Time].[All]" dimensionUniqueName="[Hospital Emergency Room Data]" displayFolder="" count="0" memberValueDatatype="7" unbalanced="0"/>
    <cacheHierarchy uniqueName="[Hospital Emergency Room Data].[Merged]" caption="Merged" attribute="1" defaultMemberUniqueName="[Hospital Emergency Room Data].[Merged].[All]" allUniqueName="[Hospital Emergency Room Data].[Merged].[All]" dimensionUniqueName="[Hospital Emergency Room Data]" displayFolder="" count="0" memberValueDatatype="130" unbalanced="0"/>
    <cacheHierarchy uniqueName="[Hospital Emergency Room Data].[Patient Gender]" caption="Patient Gender" attribute="1" defaultMemberUniqueName="[Hospital Emergency Room Data].[Patient Gender].[All]" allUniqueName="[Hospital Emergency Room Data].[Patient Gender].[All]" dimensionUniqueName="[Hospital Emergency Room Data]" displayFolder="" count="0" memberValueDatatype="130" unbalanced="0"/>
    <cacheHierarchy uniqueName="[Hospital Emergency Room Data].[Patient Age]" caption="Patient Age" attribute="1" defaultMemberUniqueName="[Hospital Emergency Room Data].[Patient Age].[All]" allUniqueName="[Hospital Emergency Room Data].[Patient Age].[All]" dimensionUniqueName="[Hospital Emergency Room Data]" displayFolder="" count="0" memberValueDatatype="20" unbalanced="0"/>
    <cacheHierarchy uniqueName="[Hospital Emergency Room Data].[Patient Race]" caption="Patient Race" attribute="1" defaultMemberUniqueName="[Hospital Emergency Room Data].[Patient Race].[All]" allUniqueName="[Hospital Emergency Room Data].[Patient Race].[All]" dimensionUniqueName="[Hospital Emergency Room Data]" displayFolder="" count="0" memberValueDatatype="130" unbalanced="0"/>
    <cacheHierarchy uniqueName="[Hospital Emergency Room Data].[Department Referral]" caption="Department Referral" attribute="1" defaultMemberUniqueName="[Hospital Emergency Room Data].[Department Referral].[All]" allUniqueName="[Hospital Emergency Room Data].[Department Referral].[All]" dimensionUniqueName="[Hospital Emergency Room Data]" displayFolder="" count="0" memberValueDatatype="130" unbalanced="0"/>
    <cacheHierarchy uniqueName="[Hospital Emergency Room Data].[Patient Admission Flag]" caption="Patient Admission Flag" attribute="1" defaultMemberUniqueName="[Hospital Emergency Room Data].[Patient Admission Flag].[All]" allUniqueName="[Hospital Emergency Room Data].[Patient Admission Flag].[All]" dimensionUniqueName="[Hospital Emergency Room Data]" displayFolder="" count="0" memberValueDatatype="130" unbalanced="0"/>
    <cacheHierarchy uniqueName="[Hospital Emergency Room Data].[Patient Satisfaction Score]" caption="Patient Satisfaction Score" attribute="1" defaultMemberUniqueName="[Hospital Emergency Room Data].[Patient Satisfaction Score].[All]" allUniqueName="[Hospital Emergency Room Data].[Patient Satisfaction Score].[All]" dimensionUniqueName="[Hospital Emergency Room Data]" displayFolder="" count="0" memberValueDatatype="20" unbalanced="0"/>
    <cacheHierarchy uniqueName="[Hospital Emergency Room Data].[Patient Waittime]" caption="Patient Waittime" attribute="1" defaultMemberUniqueName="[Hospital Emergency Room Data].[Patient Waittime].[All]" allUniqueName="[Hospital Emergency Room Data].[Patient Waittime].[All]" dimensionUniqueName="[Hospital Emergency Room Data]" displayFolder="" count="0" memberValueDatatype="20" unbalanced="0"/>
    <cacheHierarchy uniqueName="[Hospital Emergency Room Data].[Age-Group]" caption="Age-Group" attribute="1" defaultMemberUniqueName="[Hospital Emergency Room Data].[Age-Group].[All]" allUniqueName="[Hospital Emergency Room Data].[Age-Group].[All]" dimensionUniqueName="[Hospital Emergency Room Data]" displayFolder="" count="0" memberValueDatatype="130" unbalanced="0"/>
    <cacheHierarchy uniqueName="[Hospital Emergency Room Data].[Patient Attend Status]" caption="Patient Attend Status" attribute="1" defaultMemberUniqueName="[Hospital Emergency Room Data].[Patient Attend Status].[All]" allUniqueName="[Hospital Emergency Room Data].[Patient Attend Status].[All]" dimensionUniqueName="[Hospital Emergency Room Data]" displayFolder="" count="0" memberValueDatatype="130" unbalanced="0"/>
    <cacheHierarchy uniqueName="[Calender_Table].[Date (Day Index)]" caption="Date (Day Index)" attribute="1" defaultMemberUniqueName="[Calender_Table].[Date (Day Index)].[All]" allUniqueName="[Calender_Table].[Date (Day Index)].[All]" dimensionUniqueName="[Calender_Table]" displayFolder="" count="0" memberValueDatatype="5" unbalanced="0" hidden="1"/>
    <cacheHierarchy uniqueName="[Calender_Table].[Date (Month Index)]" caption="Date (Month Index)" attribute="1" defaultMemberUniqueName="[Calender_Table].[Date (Month Index)].[All]" allUniqueName="[Calender_Table].[Date (Month Index)].[All]" dimensionUniqueName="[Calender_Table]" displayFolder="" count="0" memberValueDatatype="20" unbalanced="0" hidden="1"/>
    <cacheHierarchy uniqueName="[Measures].[__XL_Count Hospital Emergency Room Data]" caption="__XL_Count Hospital Emergency Room Data" measure="1" displayFolder="" measureGroup="Hospital Emergency Room Data" count="0" hidden="1"/>
    <cacheHierarchy uniqueName="[Measures].[__XL_Count Calender_Table]" caption="__XL_Count Calender_Table" measure="1" displayFolder="" measureGroup="Calender_Table" count="0" hidden="1"/>
    <cacheHierarchy uniqueName="[Measures].[__No measures defined]" caption="__No measures defined" measure="1" displayFolder="" count="0" hidden="1"/>
    <cacheHierarchy uniqueName="[Measures].[Count of Patient Id]" caption="Count of Patient Id" measure="1" displayFolder="" measureGroup="Hospital Emergency Room Data" count="0" hidden="1">
      <extLst>
        <ext xmlns:x15="http://schemas.microsoft.com/office/spreadsheetml/2010/11/main" uri="{B97F6D7D-B522-45F9-BDA1-12C45D357490}">
          <x15:cacheHierarchy aggregatedColumn="5"/>
        </ext>
      </extLst>
    </cacheHierarchy>
    <cacheHierarchy uniqueName="[Measures].[Distinct Count of Patient Id]" caption="Distinct Count of Patient Id" measure="1" displayFolder="" measureGroup="Hospital Emergency Room Data" count="0" hidden="1">
      <extLst>
        <ext xmlns:x15="http://schemas.microsoft.com/office/spreadsheetml/2010/11/main" uri="{B97F6D7D-B522-45F9-BDA1-12C45D357490}">
          <x15:cacheHierarchy aggregatedColumn="5"/>
        </ext>
      </extLst>
    </cacheHierarchy>
    <cacheHierarchy uniqueName="[Measures].[Sum of Patient Waittime]" caption="Sum of Patient Waittim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Average of Patient Waittime]" caption="Average of Patient Waittim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Sum of Patient Satisfaction Score]" caption="Sum of Patient Satisfaction Scor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Average of Patient Satisfaction Score]" caption="Average of Patient Satisfaction Scor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Count of Patient Admission Flag]" caption="Count of Patient Admission Flag" measure="1" displayFolder="" measureGroup="Hospital Emergency Room Data" count="0" hidden="1">
      <extLst>
        <ext xmlns:x15="http://schemas.microsoft.com/office/spreadsheetml/2010/11/main" uri="{B97F6D7D-B522-45F9-BDA1-12C45D357490}">
          <x15:cacheHierarchy aggregatedColumn="13"/>
        </ext>
      </extLst>
    </cacheHierarchy>
    <cacheHierarchy uniqueName="[Measures].[Count of Patient Attend Status]" caption="Count of Patient Attend Status" measure="1" displayFolder="" measureGroup="Hospital Emergency Room Data" count="0" hidden="1">
      <extLst>
        <ext xmlns:x15="http://schemas.microsoft.com/office/spreadsheetml/2010/11/main" uri="{B97F6D7D-B522-45F9-BDA1-12C45D357490}">
          <x15:cacheHierarchy aggregatedColumn="17"/>
        </ext>
      </extLst>
    </cacheHierarchy>
    <cacheHierarchy uniqueName="[Measures].[Count of Age-Group]" caption="Count of Age-Group" measure="1" displayFolder="" measureGroup="Hospital Emergency Room Data" count="0" hidden="1">
      <extLst>
        <ext xmlns:x15="http://schemas.microsoft.com/office/spreadsheetml/2010/11/main" uri="{B97F6D7D-B522-45F9-BDA1-12C45D357490}">
          <x15:cacheHierarchy aggregatedColumn="16"/>
        </ext>
      </extLst>
    </cacheHierarchy>
    <cacheHierarchy uniqueName="[Measures].[Count of Patient Waittime]" caption="Count of Patient Waittim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Count of Patient Gender]" caption="Count of Patient Gender" measure="1" displayFolder="" measureGroup="Hospital Emergency Room Data" count="0" hidden="1">
      <extLst>
        <ext xmlns:x15="http://schemas.microsoft.com/office/spreadsheetml/2010/11/main" uri="{B97F6D7D-B522-45F9-BDA1-12C45D357490}">
          <x15:cacheHierarchy aggregatedColumn="9"/>
        </ext>
      </extLst>
    </cacheHierarchy>
    <cacheHierarchy uniqueName="[Measures].[Count of Department Referral]" caption="Count of Department Referral" measure="1" displayFolder="" measureGroup="Hospital Emergency Room Data" count="0" hidden="1">
      <extLst>
        <ext xmlns:x15="http://schemas.microsoft.com/office/spreadsheetml/2010/11/main" uri="{B97F6D7D-B522-45F9-BDA1-12C45D357490}">
          <x15:cacheHierarchy aggregatedColumn="12"/>
        </ext>
      </extLst>
    </cacheHierarchy>
  </cacheHierarchies>
  <kpis count="0"/>
  <extLst>
    <ext xmlns:x14="http://schemas.microsoft.com/office/spreadsheetml/2009/9/main" uri="{725AE2AE-9491-48be-B2B4-4EB974FC3084}">
      <x14:pivotCacheDefinition slicerData="1" pivotCacheId="1027250644"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5C84728-8A38-4B1E-8DAE-38D63331E824}" name="PivotTable10" cacheId="186" applyNumberFormats="0" applyBorderFormats="0" applyFontFormats="0" applyPatternFormats="0" applyAlignmentFormats="0" applyWidthHeightFormats="1" dataCaption="Values" tag="22ba5775-9b71-41e7-8421-cb8c701cef83" updatedVersion="8" minRefreshableVersion="3" subtotalHiddenItems="1" itemPrintTitles="1" createdVersion="5" indent="0" outline="1" outlineData="1" multipleFieldFilters="0" chartFormat="29">
  <location ref="A86:B89" firstHeaderRow="1" firstDataRow="1" firstDataCol="1"/>
  <pivotFields count="4">
    <pivotField allDrilled="1" subtotalTop="0" showAll="0" dataSourceSort="1" defaultSubtotal="0" defaultAttributeDrillState="1"/>
    <pivotField axis="axisRow" allDrilled="1" subtotalTop="0" showAll="0" dataSourceSort="1" defaultSubtotal="0" defaultAttributeDrillState="1">
      <items count="2">
        <item x="0"/>
        <item x="1"/>
      </items>
    </pivotField>
    <pivotField dataField="1" subtotalTop="0" showAll="0" defaultSubtotal="0"/>
    <pivotField allDrilled="1" subtotalTop="0" showAll="0" dataSourceSort="1" defaultSubtotal="0" defaultAttributeDrillState="1"/>
  </pivotFields>
  <rowFields count="1">
    <field x="1"/>
  </rowFields>
  <rowItems count="3">
    <i>
      <x/>
    </i>
    <i>
      <x v="1"/>
    </i>
    <i t="grand">
      <x/>
    </i>
  </rowItems>
  <colItems count="1">
    <i/>
  </colItems>
  <dataFields count="1">
    <dataField name="Count of Patient Gender" fld="2" subtotal="count" baseField="0" baseItem="0"/>
  </dataFields>
  <formats count="1">
    <format dxfId="55">
      <pivotArea outline="0" collapsedLevelsAreSubtotals="1" fieldPosition="0"/>
    </format>
  </formats>
  <chartFormats count="6">
    <chartFormat chart="27" format="1" series="1">
      <pivotArea type="data" outline="0" fieldPosition="0">
        <references count="1">
          <reference field="4294967294" count="1" selected="0">
            <x v="0"/>
          </reference>
        </references>
      </pivotArea>
    </chartFormat>
    <chartFormat chart="27" format="2">
      <pivotArea type="data" outline="0" fieldPosition="0">
        <references count="2">
          <reference field="4294967294" count="1" selected="0">
            <x v="0"/>
          </reference>
          <reference field="1" count="1" selected="0">
            <x v="0"/>
          </reference>
        </references>
      </pivotArea>
    </chartFormat>
    <chartFormat chart="27" format="3">
      <pivotArea type="data" outline="0" fieldPosition="0">
        <references count="2">
          <reference field="4294967294" count="1" selected="0">
            <x v="0"/>
          </reference>
          <reference field="1" count="1" selected="0">
            <x v="1"/>
          </reference>
        </references>
      </pivotArea>
    </chartFormat>
    <chartFormat chart="28" format="4" series="1">
      <pivotArea type="data" outline="0" fieldPosition="0">
        <references count="1">
          <reference field="4294967294" count="1" selected="0">
            <x v="0"/>
          </reference>
        </references>
      </pivotArea>
    </chartFormat>
    <chartFormat chart="28" format="5">
      <pivotArea type="data" outline="0" fieldPosition="0">
        <references count="2">
          <reference field="4294967294" count="1" selected="0">
            <x v="0"/>
          </reference>
          <reference field="1" count="1" selected="0">
            <x v="0"/>
          </reference>
        </references>
      </pivotArea>
    </chartFormat>
    <chartFormat chart="28" format="6">
      <pivotArea type="data" outline="0" fieldPosition="0">
        <references count="2">
          <reference field="4294967294" count="1" selected="0">
            <x v="0"/>
          </reference>
          <reference field="1" count="1" selected="0">
            <x v="1"/>
          </reference>
        </references>
      </pivotArea>
    </chartFormat>
  </chartFormats>
  <pivotHierarchies count="35">
    <pivotHierarchy dragToData="1"/>
    <pivotHierarchy multipleItemSelectionAllowed="1" dragToData="1">
      <members count="1" level="1">
        <member name="[Calender_Table].[Date (Month)].&amp;[Jun]"/>
      </members>
    </pivotHierarchy>
    <pivotHierarchy dragToData="1"/>
    <pivotHierarchy multipleItemSelectionAllowed="1" dragToData="1">
      <members count="1" level="1">
        <member name="[Calender_Table].[Date (Year)].&amp;[2024]"/>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caption="Average of Patient Waittime"/>
    <pivotHierarchy dragToData="1"/>
    <pivotHierarchy dragToData="1" caption="Average of Patient Satisfaction Score"/>
    <pivotHierarchy dragToData="1"/>
    <pivotHierarchy dragToData="1"/>
    <pivotHierarchy dragToData="1"/>
    <pivotHierarchy dragToData="1" caption="Count of Patient Waittime"/>
    <pivotHierarchy dragToData="1"/>
    <pivotHierarchy dragToData="1"/>
  </pivotHierarchies>
  <pivotTableStyleInfo name="PivotStyleLight16" showRowHeaders="1" showColHeaders="1" showRowStripes="0" showColStripes="0" showLastColumn="1"/>
  <rowHierarchiesUsage count="1">
    <rowHierarchyUsage hierarchyUsage="9"/>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Calender_Table]"/>
        <x15:activeTabTopLevelEntity name="[Hospital Emergency Room 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1FD52673-82A1-42AC-9DFB-523CE23CAD09}" name="PivotTable7" cacheId="177" applyNumberFormats="0" applyBorderFormats="0" applyFontFormats="0" applyPatternFormats="0" applyAlignmentFormats="0" applyWidthHeightFormats="1" dataCaption="Values" tag="e3138c01-ff44-4c46-ba3c-d3fc754d2134" updatedVersion="8" minRefreshableVersion="3" subtotalHiddenItems="1" itemPrintTitles="1" createdVersion="5" indent="0" outline="1" outlineData="1" multipleFieldFilters="0" chartFormat="2">
  <location ref="A44:C47" firstHeaderRow="0" firstDataRow="1" firstDataCol="1"/>
  <pivotFields count="5">
    <pivotField allDrilled="1" subtotalTop="0" showAll="0" dataSourceSort="1" defaultSubtotal="0" defaultAttributeDrillState="1"/>
    <pivotField dataField="1" subtotalTop="0" showAll="0" defaultSubtotal="0"/>
    <pivotField axis="axisRow" allDrilled="1" subtotalTop="0" showAll="0" dataSourceSort="1" defaultSubtotal="0" defaultAttributeDrillState="1">
      <items count="2">
        <item x="0"/>
        <item x="1"/>
      </items>
    </pivotField>
    <pivotField allDrilled="1" subtotalTop="0" showAll="0" dataSourceSort="1" defaultSubtotal="0" defaultAttributeDrillState="1"/>
    <pivotField dataField="1" compact="0" outline="0" subtotalTop="0" dragToRow="0" dragToCol="0" dragToPage="0" dragToData="0" dragOff="0" showAll="0" topAutoShow="0" includeNewItemsInFilter="1" itemPageCount="0" rankBy="0" defaultSubtotal="0">
      <extLst>
        <ext xmlns:x14="http://schemas.microsoft.com/office/spreadsheetml/2009/9/main" uri="{2946ED86-A175-432a-8AC1-64E0C546D7DE}">
          <x14:pivotField ignore="1"/>
        </ext>
      </extLst>
    </pivotField>
  </pivotFields>
  <rowFields count="1">
    <field x="2"/>
  </rowFields>
  <rowItems count="3">
    <i>
      <x/>
    </i>
    <i>
      <x v="1"/>
    </i>
    <i t="grand">
      <x/>
    </i>
  </rowItems>
  <colFields count="1">
    <field x="-2"/>
  </colFields>
  <colItems count="2">
    <i>
      <x/>
    </i>
    <i i="1">
      <x v="1"/>
    </i>
  </colItems>
  <dataFields count="2">
    <dataField name="Count of Patient Admission Flag" fld="1" subtotal="count" baseField="0" baseItem="0"/>
    <dataField name="Count of Patient Admission Flag2" fld="4" subtotal="count" showDataAs="percentOfTotal" baseField="0" baseItem="0" numFmtId="10">
      <extLst>
        <ext xmlns:x14="http://schemas.microsoft.com/office/spreadsheetml/2009/9/main" uri="{E15A36E0-9728-4e99-A89B-3F7291B0FE68}">
          <x14:dataField sourceField="1" uniqueName="[__Xl2].[Measures].[Count of Patient Admission Flag]"/>
        </ext>
      </extLst>
    </dataField>
  </dataFields>
  <formats count="2">
    <format dxfId="57">
      <pivotArea outline="0" collapsedLevelsAreSubtotals="1" fieldPosition="0"/>
    </format>
    <format dxfId="56">
      <pivotArea outline="0" fieldPosition="0">
        <references count="1">
          <reference field="4294967294" count="1">
            <x v="1"/>
          </reference>
        </references>
      </pivotArea>
    </format>
  </formats>
  <chartFormats count="4">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0" format="2">
      <pivotArea type="data" outline="0" fieldPosition="0">
        <references count="2">
          <reference field="4294967294" count="1" selected="0">
            <x v="0"/>
          </reference>
          <reference field="2" count="1" selected="0">
            <x v="0"/>
          </reference>
        </references>
      </pivotArea>
    </chartFormat>
    <chartFormat chart="0" format="3">
      <pivotArea type="data" outline="0" fieldPosition="0">
        <references count="2">
          <reference field="4294967294" count="1" selected="0">
            <x v="0"/>
          </reference>
          <reference field="2" count="1" selected="0">
            <x v="1"/>
          </reference>
        </references>
      </pivotArea>
    </chartFormat>
  </chartFormats>
  <pivotHierarchies count="36">
    <pivotHierarchy dragToData="1"/>
    <pivotHierarchy multipleItemSelectionAllowed="1" dragToData="1">
      <members count="1" level="1">
        <member name="[Calender_Table].[Date (Month)].&amp;[Jun]"/>
      </members>
    </pivotHierarchy>
    <pivotHierarchy dragToData="1"/>
    <pivotHierarchy multipleItemSelectionAllowed="1" dragToData="1">
      <members count="1" level="1">
        <member name="[Calender_Table].[Date (Year)].&amp;[2024]"/>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caption="Average of Patient Waittime"/>
    <pivotHierarchy dragToData="1"/>
    <pivotHierarchy dragToData="1" caption="Average of Patient Satisfaction Score"/>
    <pivotHierarchy dragToData="1"/>
    <pivotHierarchy dragToData="1"/>
    <pivotHierarchy dragToData="1"/>
    <pivotHierarchy dragToData="1"/>
    <pivotHierarchy dragToData="1"/>
    <pivotHierarchy dragToData="1"/>
    <pivotHierarchy dragToRow="0" dragToCol="0" dragToPage="0" dragToData="1" dragOff="0" includeNewItemsInFilter="1">
      <extLst>
        <ext xmlns:x14="http://schemas.microsoft.com/office/spreadsheetml/2009/9/main" uri="{F1805F06-0CD3-4483-9156-8803C3D141DF}">
          <x14:pivotHierarchy ignore="1"/>
        </ext>
      </extLst>
    </pivotHierarchy>
  </pivotHierarchies>
  <pivotTableStyleInfo name="PivotStyleLight16" showRowHeaders="1" showColHeaders="1" showRowStripes="0" showColStripes="0" showLastColumn="1"/>
  <rowHierarchiesUsage count="1">
    <rowHierarchyUsage hierarchyUsage="13"/>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Calender_Table]"/>
        <x15:activeTabTopLevelEntity name="[Hospital Emergency Room 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1B82372-8C86-4507-B908-8B7A71C9E228}" name="PivotTable9" cacheId="183" applyNumberFormats="0" applyBorderFormats="0" applyFontFormats="0" applyPatternFormats="0" applyAlignmentFormats="0" applyWidthHeightFormats="1" dataCaption="Values" tag="023e7b75-7379-40c5-9089-f5983357e7b5" updatedVersion="8" minRefreshableVersion="3" subtotalHiddenItems="1" itemPrintTitles="1" createdVersion="5" indent="0" outline="1" outlineData="1" multipleFieldFilters="0" chartFormat="25">
  <location ref="A78:B81" firstHeaderRow="1" firstDataRow="1" firstDataCol="1"/>
  <pivotFields count="4">
    <pivotField allDrilled="1" subtotalTop="0" showAll="0" dataSourceSort="1" defaultSubtotal="0" defaultAttributeDrillState="1"/>
    <pivotField axis="axisRow" allDrilled="1" subtotalTop="0" showAll="0" dataSourceSort="1" defaultSubtotal="0" defaultAttributeDrillState="1">
      <items count="2">
        <item x="0"/>
        <item x="1"/>
      </items>
    </pivotField>
    <pivotField dataField="1" subtotalTop="0" showAll="0" defaultSubtotal="0"/>
    <pivotField allDrilled="1" subtotalTop="0" showAll="0" dataSourceSort="1" defaultSubtotal="0" defaultAttributeDrillState="1"/>
  </pivotFields>
  <rowFields count="1">
    <field x="1"/>
  </rowFields>
  <rowItems count="3">
    <i>
      <x/>
    </i>
    <i>
      <x v="1"/>
    </i>
    <i t="grand">
      <x/>
    </i>
  </rowItems>
  <colItems count="1">
    <i/>
  </colItems>
  <dataFields count="1">
    <dataField name="Count of Patient Attend Status" fld="2" subtotal="count" baseField="0" baseItem="0"/>
  </dataFields>
  <formats count="1">
    <format dxfId="58">
      <pivotArea outline="0" collapsedLevelsAreSubtotals="1" fieldPosition="0"/>
    </format>
  </formats>
  <chartFormats count="3">
    <chartFormat chart="24" format="4" series="1">
      <pivotArea type="data" outline="0" fieldPosition="0">
        <references count="1">
          <reference field="4294967294" count="1" selected="0">
            <x v="0"/>
          </reference>
        </references>
      </pivotArea>
    </chartFormat>
    <chartFormat chart="24" format="5">
      <pivotArea type="data" outline="0" fieldPosition="0">
        <references count="2">
          <reference field="4294967294" count="1" selected="0">
            <x v="0"/>
          </reference>
          <reference field="1" count="1" selected="0">
            <x v="0"/>
          </reference>
        </references>
      </pivotArea>
    </chartFormat>
    <chartFormat chart="24" format="6">
      <pivotArea type="data" outline="0" fieldPosition="0">
        <references count="2">
          <reference field="4294967294" count="1" selected="0">
            <x v="0"/>
          </reference>
          <reference field="1" count="1" selected="0">
            <x v="1"/>
          </reference>
        </references>
      </pivotArea>
    </chartFormat>
  </chartFormats>
  <pivotHierarchies count="35">
    <pivotHierarchy dragToData="1"/>
    <pivotHierarchy multipleItemSelectionAllowed="1" dragToData="1">
      <members count="1" level="1">
        <member name="[Calender_Table].[Date (Month)].&amp;[Jun]"/>
      </members>
    </pivotHierarchy>
    <pivotHierarchy dragToData="1"/>
    <pivotHierarchy multipleItemSelectionAllowed="1" dragToData="1">
      <members count="1" level="1">
        <member name="[Calender_Table].[Date (Year)].&amp;[2024]"/>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caption="Average of Patient Waittime"/>
    <pivotHierarchy dragToData="1"/>
    <pivotHierarchy dragToData="1" caption="Average of Patient Satisfaction Score"/>
    <pivotHierarchy dragToData="1"/>
    <pivotHierarchy dragToData="1"/>
    <pivotHierarchy dragToData="1"/>
    <pivotHierarchy dragToData="1" caption="Count of Patient Waittime"/>
    <pivotHierarchy dragToData="1"/>
    <pivotHierarchy dragToData="1"/>
  </pivotHierarchies>
  <pivotTableStyleInfo name="PivotStyleLight16" showRowHeaders="1" showColHeaders="1" showRowStripes="0" showColStripes="0" showLastColumn="1"/>
  <rowHierarchiesUsage count="1">
    <rowHierarchyUsage hierarchyUsage="17"/>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Calender_Table]"/>
        <x15:activeTabTopLevelEntity name="[Hospital Emergency Room 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AA64573-8DA2-480E-AD38-D21BC13F935E}" name="PivotTable12" cacheId="192" applyNumberFormats="0" applyBorderFormats="0" applyFontFormats="0" applyPatternFormats="0" applyAlignmentFormats="0" applyWidthHeightFormats="1" dataCaption="Values" tag="6e933dee-29b9-4cda-a4c7-ed1bc02aecaf" updatedVersion="8" minRefreshableVersion="3" subtotalHiddenItems="1" itemPrintTitles="1" createdVersion="5" indent="0" outline="1" outlineData="1" multipleFieldFilters="0" chartFormat="33">
  <location ref="A108:A110" firstHeaderRow="1" firstDataRow="1" firstDataCol="1"/>
  <pivotFields count="4">
    <pivotField axis="axisRow" allDrilled="1" subtotalTop="0" showAll="0" dataSourceSort="1" defaultSubtotal="0">
      <items count="1">
        <item x="0" e="0"/>
      </items>
    </pivotField>
    <pivotField axis="axisRow" allDrilled="1" subtotalTop="0" showAll="0" dataSourceSort="1" defaultSubtotal="0" defaultAttributeDrillState="1">
      <items count="6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s>
    </pivotField>
    <pivotField axis="axisRow" allDrilled="1" subtotalTop="0" showAll="0" dataSourceSort="1" defaultSubtotal="0">
      <items count="1">
        <item x="0" e="0"/>
      </items>
    </pivotField>
    <pivotField axis="axisRow" allDrilled="1" subtotalTop="0" showAll="0" dataSourceSort="1" defaultSubtotal="0">
      <items count="1">
        <item s="1" x="0" e="0"/>
      </items>
    </pivotField>
  </pivotFields>
  <rowFields count="4">
    <field x="3"/>
    <field x="2"/>
    <field x="0"/>
    <field x="1"/>
  </rowFields>
  <rowItems count="2">
    <i>
      <x/>
    </i>
    <i t="grand">
      <x/>
    </i>
  </rowItems>
  <formats count="1">
    <format dxfId="59">
      <pivotArea outline="0" collapsedLevelsAreSubtotals="1" fieldPosition="0"/>
    </format>
  </formats>
  <pivotHierarchies count="35">
    <pivotHierarchy dragToData="1"/>
    <pivotHierarchy multipleItemSelectionAllowed="1" dragToData="1">
      <members count="1" level="1">
        <member name="[Calender_Table].[Date (Month)].&amp;[Jun]"/>
      </members>
    </pivotHierarchy>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caption="Average of Patient Waittime"/>
    <pivotHierarchy dragToData="1"/>
    <pivotHierarchy dragToData="1" caption="Average of Patient Satisfaction Score"/>
    <pivotHierarchy dragToData="1"/>
    <pivotHierarchy dragToData="1"/>
    <pivotHierarchy dragToData="1"/>
    <pivotHierarchy dragToData="1" caption="Count of Patient Waittime"/>
    <pivotHierarchy dragToData="1"/>
    <pivotHierarchy dragToData="1"/>
  </pivotHierarchies>
  <pivotTableStyleInfo name="PivotStyleLight16" showRowHeaders="1" showColHeaders="1" showRowStripes="0" showColStripes="0" showLastColumn="1"/>
  <rowHierarchiesUsage count="4">
    <rowHierarchyUsage hierarchyUsage="3"/>
    <rowHierarchyUsage hierarchyUsage="4"/>
    <rowHierarchyUsage hierarchyUsage="1"/>
    <rowHierarchyUsage hierarchyUsage="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Calender_Table]"/>
        <x15:activeTabTopLevelEntity name="[Hospital Emergency Room 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F3AF67F-39CA-4C27-8F24-97FFB09E9060}" name="PivotTable11" cacheId="189" applyNumberFormats="0" applyBorderFormats="0" applyFontFormats="0" applyPatternFormats="0" applyAlignmentFormats="0" applyWidthHeightFormats="1" dataCaption="Values" tag="e692b5ce-f6ec-4c37-bbdf-123bdde4b94c" updatedVersion="8" minRefreshableVersion="3" subtotalHiddenItems="1" itemPrintTitles="1" createdVersion="5" indent="0" outline="1" outlineData="1" multipleFieldFilters="0" chartFormat="33">
  <location ref="A94:B103" firstHeaderRow="1" firstDataRow="1" firstDataCol="1"/>
  <pivotFields count="4">
    <pivotField allDrilled="1" subtotalTop="0" showAll="0" dataSourceSort="1" defaultSubtotal="0" defaultAttributeDrillState="1"/>
    <pivotField axis="axisRow" allDrilled="1" subtotalTop="0" showAll="0" sortType="ascending" defaultSubtotal="0" defaultAttributeDrillState="1">
      <items count="8">
        <item x="0"/>
        <item x="1"/>
        <item x="2"/>
        <item x="3"/>
        <item x="4"/>
        <item x="5"/>
        <item x="6"/>
        <item x="7"/>
      </items>
      <autoSortScope>
        <pivotArea dataOnly="0" outline="0" fieldPosition="0">
          <references count="1">
            <reference field="4294967294" count="1" selected="0">
              <x v="0"/>
            </reference>
          </references>
        </pivotArea>
      </autoSortScope>
    </pivotField>
    <pivotField dataField="1" subtotalTop="0" showAll="0" defaultSubtotal="0"/>
    <pivotField allDrilled="1" subtotalTop="0" showAll="0" dataSourceSort="1" defaultSubtotal="0" defaultAttributeDrillState="1"/>
  </pivotFields>
  <rowFields count="1">
    <field x="1"/>
  </rowFields>
  <rowItems count="9">
    <i>
      <x v="7"/>
    </i>
    <i>
      <x v="6"/>
    </i>
    <i>
      <x v="3"/>
    </i>
    <i>
      <x v="1"/>
    </i>
    <i>
      <x/>
    </i>
    <i>
      <x v="5"/>
    </i>
    <i>
      <x v="2"/>
    </i>
    <i>
      <x v="4"/>
    </i>
    <i t="grand">
      <x/>
    </i>
  </rowItems>
  <colItems count="1">
    <i/>
  </colItems>
  <dataFields count="1">
    <dataField name="Count of Department Referral" fld="2" subtotal="count" baseField="0" baseItem="0"/>
  </dataFields>
  <formats count="1">
    <format dxfId="60">
      <pivotArea outline="0" collapsedLevelsAreSubtotals="1" fieldPosition="0"/>
    </format>
  </formats>
  <chartFormats count="1">
    <chartFormat chart="32" format="2" series="1">
      <pivotArea type="data" outline="0" fieldPosition="0">
        <references count="1">
          <reference field="4294967294" count="1" selected="0">
            <x v="0"/>
          </reference>
        </references>
      </pivotArea>
    </chartFormat>
  </chartFormats>
  <pivotHierarchies count="35">
    <pivotHierarchy dragToData="1"/>
    <pivotHierarchy multipleItemSelectionAllowed="1" dragToData="1">
      <members count="1" level="1">
        <member name="[Calender_Table].[Date (Month)].&amp;[Jun]"/>
      </members>
    </pivotHierarchy>
    <pivotHierarchy dragToData="1"/>
    <pivotHierarchy multipleItemSelectionAllowed="1" dragToData="1">
      <members count="1" level="1">
        <member name="[Calender_Table].[Date (Year)].&amp;[2024]"/>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caption="Average of Patient Waittime"/>
    <pivotHierarchy dragToData="1"/>
    <pivotHierarchy dragToData="1" caption="Average of Patient Satisfaction Score"/>
    <pivotHierarchy dragToData="1"/>
    <pivotHierarchy dragToData="1"/>
    <pivotHierarchy dragToData="1"/>
    <pivotHierarchy dragToData="1" caption="Count of Patient Waittime"/>
    <pivotHierarchy dragToData="1"/>
    <pivotHierarchy dragToData="1"/>
  </pivotHierarchies>
  <pivotTableStyleInfo name="PivotStyleLight16" showRowHeaders="1" showColHeaders="1" showRowStripes="0" showColStripes="0" showLastColumn="1"/>
  <rowHierarchiesUsage count="1">
    <rowHierarchyUsage hierarchyUsage="1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Calender_Table]"/>
        <x15:activeTabTopLevelEntity name="[Hospital Emergency Room 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7DC84686-C846-4EF5-965D-EEDABAC2D9A0}" name="PivotTable3" cacheId="168" applyNumberFormats="0" applyBorderFormats="0" applyFontFormats="0" applyPatternFormats="0" applyAlignmentFormats="0" applyWidthHeightFormats="1" dataCaption="Values" tag="83c0f611-5d4f-402a-aeb2-53da9685e1aa" updatedVersion="8" minRefreshableVersion="3" subtotalHiddenItems="1" itemPrintTitles="1" createdVersion="5" indent="0" outline="1" outlineData="1" multipleFieldFilters="0">
  <location ref="A11:A12" firstHeaderRow="1" firstDataRow="1" firstDataCol="0"/>
  <pivotFields count="3">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s>
  <rowItems count="1">
    <i/>
  </rowItems>
  <colItems count="1">
    <i/>
  </colItems>
  <dataFields count="1">
    <dataField name="Average of Patient Satisfaction Score" fld="0" subtotal="average" baseField="0" baseItem="0"/>
  </dataFields>
  <formats count="1">
    <format dxfId="61">
      <pivotArea outline="0" collapsedLevelsAreSubtotals="1" fieldPosition="0"/>
    </format>
  </formats>
  <pivotHierarchies count="35">
    <pivotHierarchy dragToData="1"/>
    <pivotHierarchy multipleItemSelectionAllowed="1" dragToData="1">
      <members count="1" level="1">
        <member name="[Calender_Table].[Date (Month)].&amp;[Jun]"/>
      </members>
    </pivotHierarchy>
    <pivotHierarchy dragToData="1"/>
    <pivotHierarchy multipleItemSelectionAllowed="1" dragToData="1">
      <members count="1" level="1">
        <member name="[Calender_Table].[Date (Year)].&amp;[2024]"/>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caption="Average of Patient Waittime"/>
    <pivotHierarchy dragToData="1"/>
    <pivotHierarchy dragToData="1" caption="Average of Patient Satisfaction Score"/>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Calender_Table]"/>
        <x15:activeTabTopLevelEntity name="[Hospital Emergency Room 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9A3EDFC-1232-4E35-9AD1-DDA05C3449A5}" name="PivotTable1" cacheId="162" applyNumberFormats="0" applyBorderFormats="0" applyFontFormats="0" applyPatternFormats="0" applyAlignmentFormats="0" applyWidthHeightFormats="1" dataCaption="Values" tag="758bbd58-6eeb-4e85-989e-4e290921e8d3" updatedVersion="8" minRefreshableVersion="3" subtotalHiddenItems="1" itemPrintTitles="1" createdVersion="5" indent="0" outline="1" outlineData="1" multipleFieldFilters="0">
  <location ref="A4:A5" firstHeaderRow="1" firstDataRow="1" firstDataCol="0"/>
  <pivotFields count="3">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s>
  <rowItems count="1">
    <i/>
  </rowItems>
  <colItems count="1">
    <i/>
  </colItems>
  <dataFields count="1">
    <dataField name="Distinct Count of Patient Id" fld="0" subtotal="count" baseField="0" baseItem="0">
      <extLst>
        <ext xmlns:x15="http://schemas.microsoft.com/office/spreadsheetml/2010/11/main" uri="{FABC7310-3BB5-11E1-824E-6D434824019B}">
          <x15:dataField isCountDistinct="1"/>
        </ext>
      </extLst>
    </dataField>
  </dataFields>
  <pivotHierarchies count="35">
    <pivotHierarchy dragToData="1"/>
    <pivotHierarchy multipleItemSelectionAllowed="1" dragToData="1">
      <members count="1" level="1">
        <member name="[Calender_Table].[Date (Month)].&amp;[Jun]"/>
      </members>
    </pivotHierarchy>
    <pivotHierarchy dragToData="1"/>
    <pivotHierarchy multipleItemSelectionAllowed="1" dragToData="1">
      <members count="1" level="1">
        <member name="[Calender_Table].[Date (Year)].&amp;[2024]"/>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caption="Distinct Count of Patient Id"/>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Calender_Table]"/>
        <x15:activeTabTopLevelEntity name="[Hospital Emergency Room 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91516BB-8E4D-4809-AC81-A4CD29E0F3BD}" name="PivotTable8" cacheId="180" applyNumberFormats="0" applyBorderFormats="0" applyFontFormats="0" applyPatternFormats="0" applyAlignmentFormats="0" applyWidthHeightFormats="1" dataCaption="Values" tag="6b9dd2ec-3d26-4b7a-89eb-618688548ef1" updatedVersion="8" minRefreshableVersion="3" subtotalHiddenItems="1" itemPrintTitles="1" createdVersion="5" indent="0" outline="1" outlineData="1" multipleFieldFilters="0" chartFormat="6">
  <location ref="A61:B70" firstHeaderRow="1" firstDataRow="1" firstDataCol="1"/>
  <pivotFields count="4">
    <pivotField allDrilled="1" subtotalTop="0" showAll="0" dataSourceSort="1" defaultSubtotal="0" defaultAttributeDrillState="1"/>
    <pivotField axis="axisRow" allDrilled="1" subtotalTop="0" showAll="0" dataSourceSort="1" defaultSubtotal="0" defaultAttributeDrillState="1">
      <items count="8">
        <item x="0"/>
        <item x="1"/>
        <item x="2"/>
        <item x="3"/>
        <item x="4"/>
        <item x="5"/>
        <item x="6"/>
        <item x="7"/>
      </items>
    </pivotField>
    <pivotField dataField="1" subtotalTop="0" showAll="0" defaultSubtotal="0"/>
    <pivotField allDrilled="1" subtotalTop="0" showAll="0" dataSourceSort="1" defaultSubtotal="0" defaultAttributeDrillState="1"/>
  </pivotFields>
  <rowFields count="1">
    <field x="1"/>
  </rowFields>
  <rowItems count="9">
    <i>
      <x/>
    </i>
    <i>
      <x v="1"/>
    </i>
    <i>
      <x v="2"/>
    </i>
    <i>
      <x v="3"/>
    </i>
    <i>
      <x v="4"/>
    </i>
    <i>
      <x v="5"/>
    </i>
    <i>
      <x v="6"/>
    </i>
    <i>
      <x v="7"/>
    </i>
    <i t="grand">
      <x/>
    </i>
  </rowItems>
  <colItems count="1">
    <i/>
  </colItems>
  <dataFields count="1">
    <dataField name="Count of Age-Group" fld="2" subtotal="count" baseField="0" baseItem="0" numFmtId="1"/>
  </dataFields>
  <formats count="1">
    <format dxfId="62">
      <pivotArea outline="0" collapsedLevelsAreSubtotals="1" fieldPosition="0"/>
    </format>
  </formats>
  <chartFormats count="1">
    <chartFormat chart="5" format="2" series="1">
      <pivotArea type="data" outline="0" fieldPosition="0">
        <references count="1">
          <reference field="4294967294" count="1" selected="0">
            <x v="0"/>
          </reference>
        </references>
      </pivotArea>
    </chartFormat>
  </chartFormats>
  <pivotHierarchies count="35">
    <pivotHierarchy dragToData="1"/>
    <pivotHierarchy multipleItemSelectionAllowed="1" dragToData="1">
      <members count="1" level="1">
        <member name="[Calender_Table].[Date (Month)].&amp;[Jun]"/>
      </members>
    </pivotHierarchy>
    <pivotHierarchy dragToData="1"/>
    <pivotHierarchy multipleItemSelectionAllowed="1" dragToData="1">
      <members count="1" level="1">
        <member name="[Calender_Table].[Date (Year)].&amp;[2024]"/>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caption="Average of Patient Waittime"/>
    <pivotHierarchy dragToData="1"/>
    <pivotHierarchy dragToData="1" caption="Average of Patient Satisfaction Score"/>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6"/>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Calender_Table]"/>
        <x15:activeTabTopLevelEntity name="[Hospital Emergency Room 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DE74A8A7-4A5E-4641-8654-6CF60FEC188A}" name="PivotTable6" cacheId="174" applyNumberFormats="0" applyBorderFormats="0" applyFontFormats="0" applyPatternFormats="0" applyAlignmentFormats="0" applyWidthHeightFormats="1" dataCaption="Values" tag="c6a25f47-e346-40e6-8fa0-5dda68bd4636" updatedVersion="8" minRefreshableVersion="3" subtotalHiddenItems="1" itemPrintTitles="1" createdVersion="5" indent="0" outline="1" outlineData="1" multipleFieldFilters="0" chartFormat="27">
  <location ref="J4:K35" firstHeaderRow="1" firstDataRow="1" firstDataCol="1"/>
  <pivotFields count="4">
    <pivotField axis="axisRow" allDrilled="1" subtotalTop="0" showAll="0" dataSourceSort="1" defaultSubtotal="0" defaultAttributeDrillState="1">
      <items count="30">
        <item x="0"/>
        <item x="1"/>
        <item x="2"/>
        <item x="3"/>
        <item x="4"/>
        <item x="5"/>
        <item x="6"/>
        <item x="7"/>
        <item x="8"/>
        <item x="9"/>
        <item x="10"/>
        <item x="11"/>
        <item x="12"/>
        <item x="13"/>
        <item x="14"/>
        <item x="15"/>
        <item x="16"/>
        <item x="17"/>
        <item x="18"/>
        <item x="19"/>
        <item x="20"/>
        <item x="21"/>
        <item x="22"/>
        <item x="23"/>
        <item x="24"/>
        <item x="25"/>
        <item x="26"/>
        <item x="27"/>
        <item x="28"/>
        <item x="29"/>
      </items>
    </pivotField>
    <pivotField allDrilled="1" subtotalTop="0" showAll="0" dataSourceSort="1" defaultSubtotal="0" defaultAttributeDrillState="1"/>
    <pivotField dataField="1" subtotalTop="0" showAll="0" defaultSubtotal="0"/>
    <pivotField allDrilled="1" subtotalTop="0" showAll="0" dataSourceSort="1" defaultSubtotal="0" defaultAttributeDrillState="1"/>
  </pivotFields>
  <rowFields count="1">
    <field x="0"/>
  </rowFields>
  <rowItems count="31">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t="grand">
      <x/>
    </i>
  </rowItems>
  <colItems count="1">
    <i/>
  </colItems>
  <dataFields count="1">
    <dataField name="Average of Patient Satisfaction Score" fld="2" subtotal="average" baseField="0" baseItem="0"/>
  </dataFields>
  <formats count="1">
    <format dxfId="63">
      <pivotArea outline="0" collapsedLevelsAreSubtotals="1" fieldPosition="0"/>
    </format>
  </formats>
  <chartFormats count="3">
    <chartFormat chart="21" format="1" series="1">
      <pivotArea type="data" outline="0" fieldPosition="0">
        <references count="1">
          <reference field="4294967294" count="1" selected="0">
            <x v="0"/>
          </reference>
        </references>
      </pivotArea>
    </chartFormat>
    <chartFormat chart="22" format="2" series="1">
      <pivotArea type="data" outline="0" fieldPosition="0">
        <references count="1">
          <reference field="4294967294" count="1" selected="0">
            <x v="0"/>
          </reference>
        </references>
      </pivotArea>
    </chartFormat>
    <chartFormat chart="25" format="5" series="1">
      <pivotArea type="data" outline="0" fieldPosition="0">
        <references count="1">
          <reference field="4294967294" count="1" selected="0">
            <x v="0"/>
          </reference>
        </references>
      </pivotArea>
    </chartFormat>
  </chartFormats>
  <pivotHierarchies count="35">
    <pivotHierarchy dragToData="1"/>
    <pivotHierarchy multipleItemSelectionAllowed="1" dragToData="1">
      <members count="1" level="1">
        <member name="[Calender_Table].[Date (Month)].&amp;[Jun]"/>
      </members>
    </pivotHierarchy>
    <pivotHierarchy dragToData="1"/>
    <pivotHierarchy multipleItemSelectionAllowed="1" dragToData="1">
      <members count="1" level="1">
        <member name="[Calender_Table].[Date (Year)].&amp;[2024]"/>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caption="Distinct Count of Patient Id"/>
    <pivotHierarchy dragToData="1"/>
    <pivotHierarchy dragToData="1" caption="Average of Patient Waittime"/>
    <pivotHierarchy dragToData="1"/>
    <pivotHierarchy dragToData="1" caption="Average of Patient Satisfaction Score"/>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Calender_Table]"/>
        <x15:activeTabTopLevelEntity name="[Hospital Emergency Room 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DD788199-F74B-402D-8B7E-7A88CB02FA24}" name="PivotTable2" cacheId="165" applyNumberFormats="0" applyBorderFormats="0" applyFontFormats="0" applyPatternFormats="0" applyAlignmentFormats="0" applyWidthHeightFormats="1" dataCaption="Values" tag="3516fb06-4b7a-4fa1-8335-0181b52849fb" updatedVersion="8" minRefreshableVersion="3" subtotalHiddenItems="1" itemPrintTitles="1" createdVersion="5" indent="0" outline="1" outlineData="1" multipleFieldFilters="0">
  <location ref="A8:A9" firstHeaderRow="1" firstDataRow="1" firstDataCol="0"/>
  <pivotFields count="3">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s>
  <rowItems count="1">
    <i/>
  </rowItems>
  <colItems count="1">
    <i/>
  </colItems>
  <dataFields count="1">
    <dataField name="Average of Patient Waittime" fld="0" subtotal="average" baseField="0" baseItem="0" numFmtId="2"/>
  </dataFields>
  <formats count="1">
    <format dxfId="64">
      <pivotArea outline="0" collapsedLevelsAreSubtotals="1" fieldPosition="0"/>
    </format>
  </formats>
  <pivotHierarchies count="35">
    <pivotHierarchy dragToData="1"/>
    <pivotHierarchy multipleItemSelectionAllowed="1" dragToData="1">
      <members count="1" level="1">
        <member name="[Calender_Table].[Date (Month)].&amp;[Jun]"/>
      </members>
    </pivotHierarchy>
    <pivotHierarchy dragToData="1"/>
    <pivotHierarchy multipleItemSelectionAllowed="1" dragToData="1">
      <members count="1" level="1">
        <member name="[Calender_Table].[Date (Year)].&amp;[2024]"/>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caption="Average of Patient Waittime"/>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Calender_Table]"/>
        <x15:activeTabTopLevelEntity name="[Hospital Emergency Room 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B08F3D4-16C7-4D3C-AF8D-4CB554EFBF8E}" name="PivotTable5" cacheId="171" applyNumberFormats="0" applyBorderFormats="0" applyFontFormats="0" applyPatternFormats="0" applyAlignmentFormats="0" applyWidthHeightFormats="1" dataCaption="Values" tag="178bf36f-9015-4496-b6fc-99e545c626a2" updatedVersion="8" minRefreshableVersion="3" subtotalHiddenItems="1" itemPrintTitles="1" createdVersion="5" indent="0" outline="1" outlineData="1" multipleFieldFilters="0" chartFormat="19">
  <location ref="G4:H35" firstHeaderRow="1" firstDataRow="1" firstDataCol="1"/>
  <pivotFields count="4">
    <pivotField axis="axisRow" allDrilled="1" subtotalTop="0" showAll="0" dataSourceSort="1" defaultSubtotal="0" defaultAttributeDrillState="1">
      <items count="30">
        <item x="0"/>
        <item x="1"/>
        <item x="2"/>
        <item x="3"/>
        <item x="4"/>
        <item x="5"/>
        <item x="6"/>
        <item x="7"/>
        <item x="8"/>
        <item x="9"/>
        <item x="10"/>
        <item x="11"/>
        <item x="12"/>
        <item x="13"/>
        <item x="14"/>
        <item x="15"/>
        <item x="16"/>
        <item x="17"/>
        <item x="18"/>
        <item x="19"/>
        <item x="20"/>
        <item x="21"/>
        <item x="22"/>
        <item x="23"/>
        <item x="24"/>
        <item x="25"/>
        <item x="26"/>
        <item x="27"/>
        <item x="28"/>
        <item x="29"/>
      </items>
    </pivotField>
    <pivotField allDrilled="1" subtotalTop="0" showAll="0" dataSourceSort="1" defaultSubtotal="0" defaultAttributeDrillState="1"/>
    <pivotField dataField="1" subtotalTop="0" showAll="0" defaultSubtotal="0"/>
    <pivotField allDrilled="1" subtotalTop="0" showAll="0" dataSourceSort="1" defaultSubtotal="0" defaultAttributeDrillState="1"/>
  </pivotFields>
  <rowFields count="1">
    <field x="0"/>
  </rowFields>
  <rowItems count="31">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t="grand">
      <x/>
    </i>
  </rowItems>
  <colItems count="1">
    <i/>
  </colItems>
  <dataFields count="1">
    <dataField name="Average of Patient Waittime" fld="2" subtotal="average" baseField="0" baseItem="0" numFmtId="2"/>
  </dataFields>
  <formats count="1">
    <format dxfId="65">
      <pivotArea outline="0" collapsedLevelsAreSubtotals="1" fieldPosition="0"/>
    </format>
  </formats>
  <chartFormats count="2">
    <chartFormat chart="14" format="2" series="1">
      <pivotArea type="data" outline="0" fieldPosition="0">
        <references count="1">
          <reference field="4294967294" count="1" selected="0">
            <x v="0"/>
          </reference>
        </references>
      </pivotArea>
    </chartFormat>
    <chartFormat chart="17" format="5" series="1">
      <pivotArea type="data" outline="0" fieldPosition="0">
        <references count="1">
          <reference field="4294967294" count="1" selected="0">
            <x v="0"/>
          </reference>
        </references>
      </pivotArea>
    </chartFormat>
  </chartFormats>
  <pivotHierarchies count="35">
    <pivotHierarchy dragToData="1"/>
    <pivotHierarchy multipleItemSelectionAllowed="1" dragToData="1">
      <members count="1" level="1">
        <member name="[Calender_Table].[Date (Month)].&amp;[Jun]"/>
      </members>
    </pivotHierarchy>
    <pivotHierarchy dragToData="1"/>
    <pivotHierarchy multipleItemSelectionAllowed="1" dragToData="1">
      <members count="1" level="1">
        <member name="[Calender_Table].[Date (Year)].&amp;[2024]"/>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caption="Distinct Count of Patient Id"/>
    <pivotHierarchy dragToData="1"/>
    <pivotHierarchy dragToData="1" caption="Average of Patient Waittime"/>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Calender_Table]"/>
        <x15:activeTabTopLevelEntity name="[Hospital Emergency Room 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4141C68-2744-4180-9D4A-95589D55EC48}" name="PivotTable4" cacheId="159" applyNumberFormats="0" applyBorderFormats="0" applyFontFormats="0" applyPatternFormats="0" applyAlignmentFormats="0" applyWidthHeightFormats="1" dataCaption="Values" tag="ec1774c5-3ce1-45bd-b333-f6a8ba864c08" updatedVersion="8" minRefreshableVersion="3" subtotalHiddenItems="1" itemPrintTitles="1" createdVersion="5" indent="0" outline="1" outlineData="1" multipleFieldFilters="0" chartFormat="11">
  <location ref="D4:E35" firstHeaderRow="1" firstDataRow="1" firstDataCol="1"/>
  <pivotFields count="4">
    <pivotField dataField="1" subtotalTop="0" showAll="0" defaultSubtotal="0"/>
    <pivotField axis="axisRow" allDrilled="1" subtotalTop="0" showAll="0" dataSourceSort="1" defaultSubtotal="0" defaultAttributeDrillState="1">
      <items count="30">
        <item x="0"/>
        <item x="1"/>
        <item x="2"/>
        <item x="3"/>
        <item x="4"/>
        <item x="5"/>
        <item x="6"/>
        <item x="7"/>
        <item x="8"/>
        <item x="9"/>
        <item x="10"/>
        <item x="11"/>
        <item x="12"/>
        <item x="13"/>
        <item x="14"/>
        <item x="15"/>
        <item x="16"/>
        <item x="17"/>
        <item x="18"/>
        <item x="19"/>
        <item x="20"/>
        <item x="21"/>
        <item x="22"/>
        <item x="23"/>
        <item x="24"/>
        <item x="25"/>
        <item x="26"/>
        <item x="27"/>
        <item x="28"/>
        <item x="29"/>
      </items>
    </pivotField>
    <pivotField allDrilled="1" subtotalTop="0" showAll="0" dataSourceSort="1" defaultSubtotal="0" defaultAttributeDrillState="1"/>
    <pivotField allDrilled="1" subtotalTop="0" showAll="0" dataSourceSort="1" defaultSubtotal="0" defaultAttributeDrillState="1"/>
  </pivotFields>
  <rowFields count="1">
    <field x="1"/>
  </rowFields>
  <rowItems count="31">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t="grand">
      <x/>
    </i>
  </rowItems>
  <colItems count="1">
    <i/>
  </colItems>
  <dataFields count="1">
    <dataField name="Distinct Count of Patient Id" fld="0" subtotal="count" baseField="0" baseItem="0">
      <extLst>
        <ext xmlns:x15="http://schemas.microsoft.com/office/spreadsheetml/2010/11/main" uri="{FABC7310-3BB5-11E1-824E-6D434824019B}">
          <x15:dataField isCountDistinct="1"/>
        </ext>
      </extLst>
    </dataField>
  </dataFields>
  <chartFormats count="2">
    <chartFormat chart="3" format="2" series="1">
      <pivotArea type="data" outline="0" fieldPosition="0">
        <references count="1">
          <reference field="4294967294" count="1" selected="0">
            <x v="0"/>
          </reference>
        </references>
      </pivotArea>
    </chartFormat>
    <chartFormat chart="9" format="4" series="1">
      <pivotArea type="data" outline="0" fieldPosition="0">
        <references count="1">
          <reference field="4294967294" count="1" selected="0">
            <x v="0"/>
          </reference>
        </references>
      </pivotArea>
    </chartFormat>
  </chartFormats>
  <pivotHierarchies count="35">
    <pivotHierarchy dragToData="1"/>
    <pivotHierarchy multipleItemSelectionAllowed="1" dragToData="1">
      <members count="1" level="1">
        <member name="[Calender_Table].[Date (Month)].&amp;[Jun]"/>
      </members>
    </pivotHierarchy>
    <pivotHierarchy dragToData="1"/>
    <pivotHierarchy multipleItemSelectionAllowed="1" dragToData="1">
      <members count="1" level="1">
        <member name="[Calender_Table].[Date (Year)].&amp;[2024]"/>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caption="Distinct Count of Patient Id"/>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Calender_Table]"/>
        <x15:activeTabTopLevelEntity name="[Hospital Emergency Room Data]"/>
      </x15:pivotTableUISettings>
    </ext>
    <ext xmlns:xpdl="http://schemas.microsoft.com/office/spreadsheetml/2016/pivotdefaultlayout" uri="{747A6164-185A-40DC-8AA5-F01512510D54}">
      <xpdl:pivotTableDefinition16 EnabledSubtotalsDefault="0" SubtotalsOnTopDefault="0"/>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__Month" xr10:uid="{2126F241-F4E1-4BFB-81DD-3C3D7D8D631E}" sourceName="[Calender_Table].[Date (Month)]">
  <pivotTables>
    <pivotTable tabId="1" name="PivotTable4"/>
    <pivotTable tabId="1" name="PivotTable1"/>
    <pivotTable tabId="1" name="PivotTable2"/>
    <pivotTable tabId="1" name="PivotTable3"/>
    <pivotTable tabId="1" name="PivotTable5"/>
    <pivotTable tabId="1" name="PivotTable6"/>
    <pivotTable tabId="1" name="PivotTable7"/>
    <pivotTable tabId="1" name="PivotTable8"/>
    <pivotTable tabId="1" name="PivotTable9"/>
    <pivotTable tabId="1" name="PivotTable10"/>
    <pivotTable tabId="1" name="PivotTable11"/>
    <pivotTable tabId="1" name="PivotTable12"/>
  </pivotTables>
  <data>
    <olap pivotCacheId="1027250644">
      <levels count="2">
        <level uniqueName="[Calender_Table].[Date (Month)].[(All)]" sourceCaption="(All)" count="0"/>
        <level uniqueName="[Calender_Table].[Date (Month)].[Date (Month)]" sourceCaption="Date (Month)" count="12">
          <ranges>
            <range startItem="0">
              <i n="[Calender_Table].[Date (Month)].&amp;[Jan]" c="Jan"/>
              <i n="[Calender_Table].[Date (Month)].&amp;[Feb]" c="Feb"/>
              <i n="[Calender_Table].[Date (Month)].&amp;[Mar]" c="Mar"/>
              <i n="[Calender_Table].[Date (Month)].&amp;[Apr]" c="Apr"/>
              <i n="[Calender_Table].[Date (Month)].&amp;[May]" c="May"/>
              <i n="[Calender_Table].[Date (Month)].&amp;[Jun]" c="Jun"/>
              <i n="[Calender_Table].[Date (Month)].&amp;[Jul]" c="Jul"/>
              <i n="[Calender_Table].[Date (Month)].&amp;[Aug]" c="Aug"/>
              <i n="[Calender_Table].[Date (Month)].&amp;[Sep]" c="Sep"/>
              <i n="[Calender_Table].[Date (Month)].&amp;[Oct]" c="Oct"/>
              <i n="[Calender_Table].[Date (Month)].&amp;[Nov]" c="Nov"/>
              <i n="[Calender_Table].[Date (Month)].&amp;[Dec]" c="Dec"/>
            </range>
          </ranges>
        </level>
      </levels>
      <selections count="1">
        <selection n="[Calender_Table].[Date (Month)].&amp;[Jun]"/>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__Year" xr10:uid="{73287CF7-6831-4542-81C2-CA9814B82447}" sourceName="[Calender_Table].[Date (Year)]">
  <pivotTables>
    <pivotTable tabId="1" name="PivotTable12"/>
    <pivotTable tabId="1" name="PivotTable1"/>
    <pivotTable tabId="1" name="PivotTable10"/>
    <pivotTable tabId="1" name="PivotTable11"/>
    <pivotTable tabId="1" name="PivotTable2"/>
    <pivotTable tabId="1" name="PivotTable3"/>
    <pivotTable tabId="1" name="PivotTable4"/>
    <pivotTable tabId="1" name="PivotTable5"/>
    <pivotTable tabId="1" name="PivotTable6"/>
    <pivotTable tabId="1" name="PivotTable7"/>
    <pivotTable tabId="1" name="PivotTable8"/>
    <pivotTable tabId="1" name="PivotTable9"/>
  </pivotTables>
  <data>
    <olap pivotCacheId="1027250644">
      <levels count="2">
        <level uniqueName="[Calender_Table].[Date (Year)].[(All)]" sourceCaption="(All)" count="0"/>
        <level uniqueName="[Calender_Table].[Date (Year)].[Date (Year)]" sourceCaption="Date (Year)" count="2">
          <ranges>
            <range startItem="0">
              <i n="[Calender_Table].[Date (Year)].&amp;[2023]" c="2023"/>
              <i n="[Calender_Table].[Date (Year)].&amp;[2024]" c="2024"/>
            </range>
          </ranges>
        </level>
      </levels>
      <selections count="1">
        <selection n="[Calender_Table].[Date (Year)].&amp;[2024]"/>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Date (Month)" xr10:uid="{121A28C9-A8FE-42BB-8464-3E119498D0FF}" cache="Slicer_Date__Month" caption="Date (Month)" showCaption="0" level="1" style=" Mystyle" rowHeight="146304"/>
  <slicer name="Date (Year)" xr10:uid="{788AA298-364B-46DF-A178-F2A7528893D7}" cache="Slicer_Date__Year" caption="Date (Year)" columnCount="2" showCaption="0" level="1" style=" Mystyle" rowHeight="182880"/>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pivotTable" Target="../pivotTables/pivotTable8.xml"/><Relationship Id="rId13" Type="http://schemas.openxmlformats.org/officeDocument/2006/relationships/drawing" Target="../drawings/drawing1.xml"/><Relationship Id="rId3" Type="http://schemas.openxmlformats.org/officeDocument/2006/relationships/pivotTable" Target="../pivotTables/pivotTable3.xml"/><Relationship Id="rId7" Type="http://schemas.openxmlformats.org/officeDocument/2006/relationships/pivotTable" Target="../pivotTables/pivotTable7.xml"/><Relationship Id="rId12" Type="http://schemas.openxmlformats.org/officeDocument/2006/relationships/pivotTable" Target="../pivotTables/pivotTable12.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5" Type="http://schemas.openxmlformats.org/officeDocument/2006/relationships/pivotTable" Target="../pivotTables/pivotTable5.xml"/><Relationship Id="rId10" Type="http://schemas.openxmlformats.org/officeDocument/2006/relationships/pivotTable" Target="../pivotTables/pivotTable10.xml"/><Relationship Id="rId4" Type="http://schemas.openxmlformats.org/officeDocument/2006/relationships/pivotTable" Target="../pivotTables/pivotTable4.xml"/><Relationship Id="rId9" Type="http://schemas.openxmlformats.org/officeDocument/2006/relationships/pivotTable" Target="../pivotTables/pivotTable9.xml"/></Relationships>
</file>

<file path=xl/worksheets/_rels/sheet2.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E49DA1-90BE-49AD-B0C4-8300404F10E5}">
  <dimension ref="A3:K110"/>
  <sheetViews>
    <sheetView topLeftCell="A33" workbookViewId="0">
      <selection activeCell="G52" sqref="G52"/>
    </sheetView>
  </sheetViews>
  <sheetFormatPr defaultRowHeight="14.4" x14ac:dyDescent="0.3"/>
  <cols>
    <col min="1" max="1" width="16" customWidth="1"/>
    <col min="2" max="2" width="14.109375" customWidth="1"/>
    <col min="3" max="3" width="13.33203125" customWidth="1"/>
    <col min="4" max="4" width="17" customWidth="1"/>
    <col min="5" max="5" width="24.33203125" customWidth="1"/>
    <col min="6" max="6" width="15.5546875" bestFit="1" customWidth="1"/>
    <col min="7" max="7" width="22" customWidth="1"/>
    <col min="8" max="8" width="25.88671875" customWidth="1"/>
    <col min="9" max="9" width="15.5546875" bestFit="1" customWidth="1"/>
    <col min="10" max="10" width="18.6640625" customWidth="1"/>
    <col min="11" max="11" width="25.44140625" customWidth="1"/>
    <col min="12" max="24" width="15.5546875" bestFit="1" customWidth="1"/>
    <col min="25" max="25" width="10.77734375" bestFit="1" customWidth="1"/>
    <col min="26" max="731" width="15.5546875" bestFit="1" customWidth="1"/>
    <col min="732" max="732" width="10.77734375" bestFit="1" customWidth="1"/>
  </cols>
  <sheetData>
    <row r="3" spans="1:11" x14ac:dyDescent="0.3">
      <c r="A3" t="s">
        <v>2</v>
      </c>
      <c r="D3" t="s">
        <v>7</v>
      </c>
      <c r="G3" t="s">
        <v>8</v>
      </c>
    </row>
    <row r="4" spans="1:11" x14ac:dyDescent="0.3">
      <c r="A4" t="s">
        <v>3</v>
      </c>
      <c r="D4" s="1" t="s">
        <v>6</v>
      </c>
      <c r="E4" t="s">
        <v>3</v>
      </c>
      <c r="G4" s="1" t="s">
        <v>6</v>
      </c>
      <c r="H4" t="s">
        <v>4</v>
      </c>
      <c r="J4" s="1" t="s">
        <v>6</v>
      </c>
      <c r="K4" t="s">
        <v>5</v>
      </c>
    </row>
    <row r="5" spans="1:11" x14ac:dyDescent="0.3">
      <c r="A5" s="12">
        <v>485</v>
      </c>
      <c r="D5" s="4" t="s">
        <v>44</v>
      </c>
      <c r="E5" s="12">
        <v>17</v>
      </c>
      <c r="G5" s="4" t="s">
        <v>44</v>
      </c>
      <c r="H5" s="2">
        <v>33.352941176470587</v>
      </c>
      <c r="J5" s="4" t="s">
        <v>44</v>
      </c>
      <c r="K5" s="2">
        <v>4.75</v>
      </c>
    </row>
    <row r="6" spans="1:11" x14ac:dyDescent="0.3">
      <c r="D6" s="4" t="s">
        <v>45</v>
      </c>
      <c r="E6" s="12">
        <v>10</v>
      </c>
      <c r="G6" s="4" t="s">
        <v>45</v>
      </c>
      <c r="H6" s="2">
        <v>38.4</v>
      </c>
      <c r="J6" s="4" t="s">
        <v>45</v>
      </c>
      <c r="K6" s="2">
        <v>5.2</v>
      </c>
    </row>
    <row r="7" spans="1:11" x14ac:dyDescent="0.3">
      <c r="D7" s="4" t="s">
        <v>46</v>
      </c>
      <c r="E7" s="12">
        <v>23</v>
      </c>
      <c r="G7" s="4" t="s">
        <v>46</v>
      </c>
      <c r="H7" s="2">
        <v>38.521739130434781</v>
      </c>
      <c r="J7" s="4" t="s">
        <v>46</v>
      </c>
      <c r="K7" s="2">
        <v>3.375</v>
      </c>
    </row>
    <row r="8" spans="1:11" x14ac:dyDescent="0.3">
      <c r="A8" t="s">
        <v>4</v>
      </c>
      <c r="D8" s="4" t="s">
        <v>47</v>
      </c>
      <c r="E8" s="12">
        <v>15</v>
      </c>
      <c r="G8" s="4" t="s">
        <v>47</v>
      </c>
      <c r="H8" s="2">
        <v>30.4</v>
      </c>
      <c r="J8" s="4" t="s">
        <v>47</v>
      </c>
      <c r="K8" s="2">
        <v>5.8</v>
      </c>
    </row>
    <row r="9" spans="1:11" x14ac:dyDescent="0.3">
      <c r="A9" s="2">
        <v>35.507216494845359</v>
      </c>
      <c r="D9" s="4" t="s">
        <v>48</v>
      </c>
      <c r="E9" s="12">
        <v>14</v>
      </c>
      <c r="G9" s="4" t="s">
        <v>48</v>
      </c>
      <c r="H9" s="2">
        <v>33.142857142857146</v>
      </c>
      <c r="J9" s="4" t="s">
        <v>48</v>
      </c>
      <c r="K9" s="2">
        <v>4.375</v>
      </c>
    </row>
    <row r="10" spans="1:11" x14ac:dyDescent="0.3">
      <c r="D10" s="4" t="s">
        <v>49</v>
      </c>
      <c r="E10" s="12">
        <v>11</v>
      </c>
      <c r="G10" s="4" t="s">
        <v>49</v>
      </c>
      <c r="H10" s="2">
        <v>38.18181818181818</v>
      </c>
      <c r="J10" s="4" t="s">
        <v>49</v>
      </c>
      <c r="K10" s="2">
        <v>3</v>
      </c>
    </row>
    <row r="11" spans="1:11" x14ac:dyDescent="0.3">
      <c r="A11" t="s">
        <v>5</v>
      </c>
      <c r="D11" s="4" t="s">
        <v>50</v>
      </c>
      <c r="E11" s="12">
        <v>15</v>
      </c>
      <c r="G11" s="4" t="s">
        <v>50</v>
      </c>
      <c r="H11" s="2">
        <v>39.733333333333334</v>
      </c>
      <c r="J11" s="4" t="s">
        <v>50</v>
      </c>
      <c r="K11" s="2">
        <v>5</v>
      </c>
    </row>
    <row r="12" spans="1:11" x14ac:dyDescent="0.3">
      <c r="A12" s="2">
        <v>4.7092198581560281</v>
      </c>
      <c r="D12" s="4" t="s">
        <v>51</v>
      </c>
      <c r="E12" s="12">
        <v>20</v>
      </c>
      <c r="G12" s="4" t="s">
        <v>51</v>
      </c>
      <c r="H12" s="2">
        <v>37</v>
      </c>
      <c r="J12" s="4" t="s">
        <v>51</v>
      </c>
      <c r="K12" s="2">
        <v>3</v>
      </c>
    </row>
    <row r="13" spans="1:11" x14ac:dyDescent="0.3">
      <c r="D13" s="4" t="s">
        <v>52</v>
      </c>
      <c r="E13" s="12">
        <v>21</v>
      </c>
      <c r="G13" s="4" t="s">
        <v>52</v>
      </c>
      <c r="H13" s="2">
        <v>35.61904761904762</v>
      </c>
      <c r="J13" s="4" t="s">
        <v>52</v>
      </c>
      <c r="K13" s="2">
        <v>4.9090909090909092</v>
      </c>
    </row>
    <row r="14" spans="1:11" x14ac:dyDescent="0.3">
      <c r="D14" s="4" t="s">
        <v>53</v>
      </c>
      <c r="E14" s="12">
        <v>17</v>
      </c>
      <c r="G14" s="4" t="s">
        <v>53</v>
      </c>
      <c r="H14" s="2">
        <v>34.176470588235297</v>
      </c>
      <c r="J14" s="4" t="s">
        <v>53</v>
      </c>
      <c r="K14" s="2">
        <v>3.8333333333333335</v>
      </c>
    </row>
    <row r="15" spans="1:11" x14ac:dyDescent="0.3">
      <c r="D15" s="4" t="s">
        <v>54</v>
      </c>
      <c r="E15" s="12">
        <v>17</v>
      </c>
      <c r="G15" s="4" t="s">
        <v>54</v>
      </c>
      <c r="H15" s="2">
        <v>37.176470588235297</v>
      </c>
      <c r="J15" s="4" t="s">
        <v>54</v>
      </c>
      <c r="K15" s="2">
        <v>3.875</v>
      </c>
    </row>
    <row r="16" spans="1:11" x14ac:dyDescent="0.3">
      <c r="D16" s="4" t="s">
        <v>55</v>
      </c>
      <c r="E16" s="12">
        <v>17</v>
      </c>
      <c r="G16" s="4" t="s">
        <v>55</v>
      </c>
      <c r="H16" s="2">
        <v>36.647058823529413</v>
      </c>
      <c r="J16" s="4" t="s">
        <v>55</v>
      </c>
      <c r="K16" s="2">
        <v>4.333333333333333</v>
      </c>
    </row>
    <row r="17" spans="4:11" x14ac:dyDescent="0.3">
      <c r="D17" s="4" t="s">
        <v>56</v>
      </c>
      <c r="E17" s="12">
        <v>17</v>
      </c>
      <c r="G17" s="4" t="s">
        <v>56</v>
      </c>
      <c r="H17" s="2">
        <v>34.941176470588232</v>
      </c>
      <c r="J17" s="4" t="s">
        <v>56</v>
      </c>
      <c r="K17" s="2">
        <v>3.5</v>
      </c>
    </row>
    <row r="18" spans="4:11" x14ac:dyDescent="0.3">
      <c r="D18" s="4" t="s">
        <v>57</v>
      </c>
      <c r="E18" s="12">
        <v>11</v>
      </c>
      <c r="G18" s="4" t="s">
        <v>57</v>
      </c>
      <c r="H18" s="2">
        <v>44</v>
      </c>
      <c r="J18" s="4" t="s">
        <v>57</v>
      </c>
      <c r="K18" s="2">
        <v>5.4</v>
      </c>
    </row>
    <row r="19" spans="4:11" x14ac:dyDescent="0.3">
      <c r="D19" s="4" t="s">
        <v>58</v>
      </c>
      <c r="E19" s="12">
        <v>23</v>
      </c>
      <c r="G19" s="4" t="s">
        <v>58</v>
      </c>
      <c r="H19" s="2">
        <v>38.913043478260867</v>
      </c>
      <c r="J19" s="4" t="s">
        <v>58</v>
      </c>
      <c r="K19" s="2">
        <v>5.375</v>
      </c>
    </row>
    <row r="20" spans="4:11" x14ac:dyDescent="0.3">
      <c r="D20" s="4" t="s">
        <v>59</v>
      </c>
      <c r="E20" s="12">
        <v>14</v>
      </c>
      <c r="G20" s="4" t="s">
        <v>59</v>
      </c>
      <c r="H20" s="2">
        <v>31</v>
      </c>
      <c r="J20" s="4" t="s">
        <v>59</v>
      </c>
      <c r="K20" s="2">
        <v>3.3333333333333335</v>
      </c>
    </row>
    <row r="21" spans="4:11" x14ac:dyDescent="0.3">
      <c r="D21" s="4" t="s">
        <v>60</v>
      </c>
      <c r="E21" s="12">
        <v>22</v>
      </c>
      <c r="G21" s="4" t="s">
        <v>60</v>
      </c>
      <c r="H21" s="2">
        <v>34.227272727272727</v>
      </c>
      <c r="J21" s="4" t="s">
        <v>60</v>
      </c>
      <c r="K21" s="2">
        <v>6.2</v>
      </c>
    </row>
    <row r="22" spans="4:11" x14ac:dyDescent="0.3">
      <c r="D22" s="4" t="s">
        <v>61</v>
      </c>
      <c r="E22" s="12">
        <v>16</v>
      </c>
      <c r="G22" s="4" t="s">
        <v>61</v>
      </c>
      <c r="H22" s="2">
        <v>31</v>
      </c>
      <c r="J22" s="4" t="s">
        <v>61</v>
      </c>
      <c r="K22" s="2">
        <v>1.6666666666666667</v>
      </c>
    </row>
    <row r="23" spans="4:11" x14ac:dyDescent="0.3">
      <c r="D23" s="4" t="s">
        <v>62</v>
      </c>
      <c r="E23" s="12">
        <v>13</v>
      </c>
      <c r="G23" s="4" t="s">
        <v>62</v>
      </c>
      <c r="H23" s="2">
        <v>32.153846153846153</v>
      </c>
      <c r="J23" s="4" t="s">
        <v>62</v>
      </c>
      <c r="K23" s="2">
        <v>4.5</v>
      </c>
    </row>
    <row r="24" spans="4:11" x14ac:dyDescent="0.3">
      <c r="D24" s="4" t="s">
        <v>63</v>
      </c>
      <c r="E24" s="12">
        <v>14</v>
      </c>
      <c r="G24" s="4" t="s">
        <v>63</v>
      </c>
      <c r="H24" s="2">
        <v>32.785714285714285</v>
      </c>
      <c r="J24" s="4" t="s">
        <v>63</v>
      </c>
      <c r="K24" s="2">
        <v>7.666666666666667</v>
      </c>
    </row>
    <row r="25" spans="4:11" x14ac:dyDescent="0.3">
      <c r="D25" s="4" t="s">
        <v>64</v>
      </c>
      <c r="E25" s="12">
        <v>12</v>
      </c>
      <c r="G25" s="4" t="s">
        <v>64</v>
      </c>
      <c r="H25" s="2">
        <v>30</v>
      </c>
      <c r="J25" s="4" t="s">
        <v>64</v>
      </c>
      <c r="K25" s="2">
        <v>4.4000000000000004</v>
      </c>
    </row>
    <row r="26" spans="4:11" x14ac:dyDescent="0.3">
      <c r="D26" s="4" t="s">
        <v>65</v>
      </c>
      <c r="E26" s="12">
        <v>12</v>
      </c>
      <c r="G26" s="4" t="s">
        <v>65</v>
      </c>
      <c r="H26" s="2">
        <v>33.5</v>
      </c>
      <c r="J26" s="4" t="s">
        <v>65</v>
      </c>
      <c r="K26" s="2">
        <v>6.5</v>
      </c>
    </row>
    <row r="27" spans="4:11" x14ac:dyDescent="0.3">
      <c r="D27" s="4" t="s">
        <v>66</v>
      </c>
      <c r="E27" s="12">
        <v>20</v>
      </c>
      <c r="G27" s="4" t="s">
        <v>66</v>
      </c>
      <c r="H27" s="2">
        <v>32.950000000000003</v>
      </c>
      <c r="J27" s="4" t="s">
        <v>66</v>
      </c>
      <c r="K27" s="2">
        <v>5</v>
      </c>
    </row>
    <row r="28" spans="4:11" x14ac:dyDescent="0.3">
      <c r="D28" s="4" t="s">
        <v>67</v>
      </c>
      <c r="E28" s="12">
        <v>19</v>
      </c>
      <c r="G28" s="4" t="s">
        <v>67</v>
      </c>
      <c r="H28" s="2">
        <v>35.842105263157897</v>
      </c>
      <c r="J28" s="4" t="s">
        <v>67</v>
      </c>
      <c r="K28" s="2">
        <v>5.25</v>
      </c>
    </row>
    <row r="29" spans="4:11" x14ac:dyDescent="0.3">
      <c r="D29" s="4" t="s">
        <v>68</v>
      </c>
      <c r="E29" s="12">
        <v>13</v>
      </c>
      <c r="G29" s="4" t="s">
        <v>68</v>
      </c>
      <c r="H29" s="2">
        <v>33.846153846153847</v>
      </c>
      <c r="J29" s="4" t="s">
        <v>68</v>
      </c>
      <c r="K29" s="2">
        <v>4.75</v>
      </c>
    </row>
    <row r="30" spans="4:11" x14ac:dyDescent="0.3">
      <c r="D30" s="4" t="s">
        <v>69</v>
      </c>
      <c r="E30" s="12">
        <v>15</v>
      </c>
      <c r="G30" s="4" t="s">
        <v>69</v>
      </c>
      <c r="H30" s="2">
        <v>39.06666666666667</v>
      </c>
      <c r="J30" s="4" t="s">
        <v>69</v>
      </c>
      <c r="K30" s="2">
        <v>5</v>
      </c>
    </row>
    <row r="31" spans="4:11" x14ac:dyDescent="0.3">
      <c r="D31" s="4" t="s">
        <v>70</v>
      </c>
      <c r="E31" s="12">
        <v>19</v>
      </c>
      <c r="G31" s="4" t="s">
        <v>70</v>
      </c>
      <c r="H31" s="2">
        <v>36.684210526315788</v>
      </c>
      <c r="J31" s="4" t="s">
        <v>70</v>
      </c>
      <c r="K31" s="2">
        <v>4</v>
      </c>
    </row>
    <row r="32" spans="4:11" x14ac:dyDescent="0.3">
      <c r="D32" s="4" t="s">
        <v>71</v>
      </c>
      <c r="E32" s="12">
        <v>17</v>
      </c>
      <c r="G32" s="4" t="s">
        <v>71</v>
      </c>
      <c r="H32" s="2">
        <v>33.764705882352942</v>
      </c>
      <c r="J32" s="4" t="s">
        <v>71</v>
      </c>
      <c r="K32" s="2">
        <v>5.333333333333333</v>
      </c>
    </row>
    <row r="33" spans="1:11" x14ac:dyDescent="0.3">
      <c r="D33" s="4" t="s">
        <v>72</v>
      </c>
      <c r="E33" s="12">
        <v>15</v>
      </c>
      <c r="G33" s="4" t="s">
        <v>72</v>
      </c>
      <c r="H33" s="2">
        <v>34.533333333333331</v>
      </c>
      <c r="J33" s="4" t="s">
        <v>72</v>
      </c>
      <c r="K33" s="2">
        <v>6</v>
      </c>
    </row>
    <row r="34" spans="1:11" x14ac:dyDescent="0.3">
      <c r="D34" s="4" t="s">
        <v>73</v>
      </c>
      <c r="E34" s="12">
        <v>16</v>
      </c>
      <c r="G34" s="4" t="s">
        <v>73</v>
      </c>
      <c r="H34" s="2">
        <v>42.125</v>
      </c>
      <c r="J34" s="4" t="s">
        <v>73</v>
      </c>
      <c r="K34" s="2">
        <v>6.333333333333333</v>
      </c>
    </row>
    <row r="35" spans="1:11" x14ac:dyDescent="0.3">
      <c r="D35" s="4" t="s">
        <v>0</v>
      </c>
      <c r="E35" s="12">
        <v>485</v>
      </c>
      <c r="G35" s="4" t="s">
        <v>0</v>
      </c>
      <c r="H35" s="2">
        <v>35.507216494845359</v>
      </c>
      <c r="J35" s="4" t="s">
        <v>0</v>
      </c>
      <c r="K35" s="2">
        <v>4.7092198581560281</v>
      </c>
    </row>
    <row r="44" spans="1:11" x14ac:dyDescent="0.3">
      <c r="A44" s="1" t="s">
        <v>6</v>
      </c>
      <c r="B44" t="s">
        <v>9</v>
      </c>
      <c r="C44" t="s">
        <v>13</v>
      </c>
    </row>
    <row r="45" spans="1:11" x14ac:dyDescent="0.3">
      <c r="A45" s="4" t="s">
        <v>11</v>
      </c>
      <c r="B45" s="2">
        <v>235</v>
      </c>
      <c r="C45" s="5">
        <v>0.4845360824742268</v>
      </c>
    </row>
    <row r="46" spans="1:11" x14ac:dyDescent="0.3">
      <c r="A46" s="4" t="s">
        <v>12</v>
      </c>
      <c r="B46" s="2">
        <v>250</v>
      </c>
      <c r="C46" s="5">
        <v>0.51546391752577314</v>
      </c>
    </row>
    <row r="47" spans="1:11" x14ac:dyDescent="0.3">
      <c r="A47" s="4" t="s">
        <v>0</v>
      </c>
      <c r="B47" s="2">
        <v>485</v>
      </c>
      <c r="C47" s="5">
        <v>1</v>
      </c>
    </row>
    <row r="52" spans="1:4" x14ac:dyDescent="0.3">
      <c r="A52" s="8" t="s">
        <v>14</v>
      </c>
      <c r="B52" s="8" t="s">
        <v>15</v>
      </c>
      <c r="C52" s="8" t="s">
        <v>16</v>
      </c>
      <c r="D52" s="7"/>
    </row>
    <row r="53" spans="1:4" x14ac:dyDescent="0.3">
      <c r="A53" s="9" t="str">
        <f>A46</f>
        <v>Not Admitted</v>
      </c>
      <c r="B53" s="9">
        <f>B46</f>
        <v>250</v>
      </c>
      <c r="C53" s="10">
        <f>C46</f>
        <v>0.51546391752577314</v>
      </c>
      <c r="D53" s="6"/>
    </row>
    <row r="54" spans="1:4" x14ac:dyDescent="0.3">
      <c r="A54" s="9" t="str">
        <f>A45</f>
        <v>Admitted</v>
      </c>
      <c r="B54" s="9">
        <f>B45</f>
        <v>235</v>
      </c>
      <c r="C54" s="10">
        <f>C45</f>
        <v>0.4845360824742268</v>
      </c>
      <c r="D54" s="6"/>
    </row>
    <row r="60" spans="1:4" x14ac:dyDescent="0.3">
      <c r="A60" t="s">
        <v>26</v>
      </c>
    </row>
    <row r="61" spans="1:4" x14ac:dyDescent="0.3">
      <c r="A61" s="1" t="s">
        <v>6</v>
      </c>
      <c r="B61" t="s">
        <v>25</v>
      </c>
    </row>
    <row r="62" spans="1:4" x14ac:dyDescent="0.3">
      <c r="A62" s="4" t="s">
        <v>17</v>
      </c>
      <c r="B62" s="11">
        <v>59</v>
      </c>
    </row>
    <row r="63" spans="1:4" x14ac:dyDescent="0.3">
      <c r="A63" s="4" t="s">
        <v>18</v>
      </c>
      <c r="B63" s="11">
        <v>55</v>
      </c>
    </row>
    <row r="64" spans="1:4" x14ac:dyDescent="0.3">
      <c r="A64" s="4" t="s">
        <v>19</v>
      </c>
      <c r="B64" s="11">
        <v>69</v>
      </c>
    </row>
    <row r="65" spans="1:2" x14ac:dyDescent="0.3">
      <c r="A65" s="4" t="s">
        <v>20</v>
      </c>
      <c r="B65" s="11">
        <v>64</v>
      </c>
    </row>
    <row r="66" spans="1:2" x14ac:dyDescent="0.3">
      <c r="A66" s="4" t="s">
        <v>21</v>
      </c>
      <c r="B66" s="11">
        <v>56</v>
      </c>
    </row>
    <row r="67" spans="1:2" x14ac:dyDescent="0.3">
      <c r="A67" s="4" t="s">
        <v>22</v>
      </c>
      <c r="B67" s="11">
        <v>60</v>
      </c>
    </row>
    <row r="68" spans="1:2" x14ac:dyDescent="0.3">
      <c r="A68" s="4" t="s">
        <v>23</v>
      </c>
      <c r="B68" s="11">
        <v>51</v>
      </c>
    </row>
    <row r="69" spans="1:2" x14ac:dyDescent="0.3">
      <c r="A69" s="4" t="s">
        <v>24</v>
      </c>
      <c r="B69" s="11">
        <v>71</v>
      </c>
    </row>
    <row r="70" spans="1:2" x14ac:dyDescent="0.3">
      <c r="A70" s="4" t="s">
        <v>0</v>
      </c>
      <c r="B70" s="11">
        <v>485</v>
      </c>
    </row>
    <row r="77" spans="1:2" x14ac:dyDescent="0.3">
      <c r="A77" t="s">
        <v>29</v>
      </c>
    </row>
    <row r="78" spans="1:2" x14ac:dyDescent="0.3">
      <c r="A78" s="1" t="s">
        <v>6</v>
      </c>
      <c r="B78" t="s">
        <v>10</v>
      </c>
    </row>
    <row r="79" spans="1:2" x14ac:dyDescent="0.3">
      <c r="A79" s="4" t="s">
        <v>27</v>
      </c>
      <c r="B79" s="11">
        <v>297</v>
      </c>
    </row>
    <row r="80" spans="1:2" x14ac:dyDescent="0.3">
      <c r="A80" s="4" t="s">
        <v>28</v>
      </c>
      <c r="B80" s="11">
        <v>188</v>
      </c>
    </row>
    <row r="81" spans="1:2" x14ac:dyDescent="0.3">
      <c r="A81" s="4" t="s">
        <v>0</v>
      </c>
      <c r="B81" s="11">
        <v>485</v>
      </c>
    </row>
    <row r="85" spans="1:2" x14ac:dyDescent="0.3">
      <c r="A85" t="s">
        <v>33</v>
      </c>
    </row>
    <row r="86" spans="1:2" x14ac:dyDescent="0.3">
      <c r="A86" s="1" t="s">
        <v>6</v>
      </c>
      <c r="B86" t="s">
        <v>32</v>
      </c>
    </row>
    <row r="87" spans="1:2" x14ac:dyDescent="0.3">
      <c r="A87" s="4" t="s">
        <v>30</v>
      </c>
      <c r="B87" s="11">
        <v>239</v>
      </c>
    </row>
    <row r="88" spans="1:2" x14ac:dyDescent="0.3">
      <c r="A88" s="4" t="s">
        <v>31</v>
      </c>
      <c r="B88" s="11">
        <v>246</v>
      </c>
    </row>
    <row r="89" spans="1:2" x14ac:dyDescent="0.3">
      <c r="A89" s="4" t="s">
        <v>0</v>
      </c>
      <c r="B89" s="11">
        <v>485</v>
      </c>
    </row>
    <row r="93" spans="1:2" x14ac:dyDescent="0.3">
      <c r="A93" t="s">
        <v>34</v>
      </c>
    </row>
    <row r="94" spans="1:2" x14ac:dyDescent="0.3">
      <c r="A94" s="1" t="s">
        <v>6</v>
      </c>
      <c r="B94" t="s">
        <v>43</v>
      </c>
    </row>
    <row r="95" spans="1:2" x14ac:dyDescent="0.3">
      <c r="A95" s="4" t="s">
        <v>42</v>
      </c>
      <c r="B95" s="11">
        <v>2</v>
      </c>
    </row>
    <row r="96" spans="1:2" x14ac:dyDescent="0.3">
      <c r="A96" s="4" t="s">
        <v>41</v>
      </c>
      <c r="B96" s="11">
        <v>11</v>
      </c>
    </row>
    <row r="97" spans="1:2" x14ac:dyDescent="0.3">
      <c r="A97" s="4" t="s">
        <v>38</v>
      </c>
      <c r="B97" s="11">
        <v>12</v>
      </c>
    </row>
    <row r="98" spans="1:2" x14ac:dyDescent="0.3">
      <c r="A98" s="4" t="s">
        <v>36</v>
      </c>
      <c r="B98" s="11">
        <v>12</v>
      </c>
    </row>
    <row r="99" spans="1:2" x14ac:dyDescent="0.3">
      <c r="A99" s="4" t="s">
        <v>35</v>
      </c>
      <c r="B99" s="11">
        <v>13</v>
      </c>
    </row>
    <row r="100" spans="1:2" x14ac:dyDescent="0.3">
      <c r="A100" s="4" t="s">
        <v>40</v>
      </c>
      <c r="B100" s="11">
        <v>53</v>
      </c>
    </row>
    <row r="101" spans="1:2" x14ac:dyDescent="0.3">
      <c r="A101" s="4" t="s">
        <v>37</v>
      </c>
      <c r="B101" s="11">
        <v>91</v>
      </c>
    </row>
    <row r="102" spans="1:2" x14ac:dyDescent="0.3">
      <c r="A102" s="4" t="s">
        <v>39</v>
      </c>
      <c r="B102" s="11">
        <v>291</v>
      </c>
    </row>
    <row r="103" spans="1:2" x14ac:dyDescent="0.3">
      <c r="A103" s="4" t="s">
        <v>0</v>
      </c>
      <c r="B103" s="11">
        <v>485</v>
      </c>
    </row>
    <row r="108" spans="1:2" x14ac:dyDescent="0.3">
      <c r="A108" s="1" t="s">
        <v>6</v>
      </c>
    </row>
    <row r="109" spans="1:2" x14ac:dyDescent="0.3">
      <c r="A109" s="4" t="s">
        <v>1</v>
      </c>
    </row>
    <row r="110" spans="1:2" x14ac:dyDescent="0.3">
      <c r="A110" s="4" t="s">
        <v>0</v>
      </c>
    </row>
  </sheetData>
  <pageMargins left="0.7" right="0.7" top="0.75" bottom="0.75" header="0.3" footer="0.3"/>
  <drawing r:id="rId1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5A6761-C361-46AF-94AC-6ADEA885FDFA}">
  <dimension ref="A1:M17"/>
  <sheetViews>
    <sheetView tabSelected="1" zoomScale="170" zoomScaleNormal="170" workbookViewId="0"/>
  </sheetViews>
  <sheetFormatPr defaultRowHeight="14.4" x14ac:dyDescent="0.3"/>
  <sheetData>
    <row r="1" spans="1:13" x14ac:dyDescent="0.3">
      <c r="A1" s="3"/>
      <c r="B1" s="3"/>
      <c r="C1" s="3"/>
      <c r="D1" s="3"/>
      <c r="E1" s="3"/>
      <c r="F1" s="3"/>
      <c r="G1" s="3"/>
      <c r="H1" s="3"/>
      <c r="I1" s="3"/>
      <c r="J1" s="3"/>
      <c r="K1" s="3"/>
      <c r="L1" s="3"/>
      <c r="M1" s="3"/>
    </row>
    <row r="2" spans="1:13" x14ac:dyDescent="0.3">
      <c r="A2" s="3"/>
      <c r="B2" s="3"/>
      <c r="C2" s="3"/>
      <c r="D2" s="3"/>
      <c r="E2" s="3"/>
      <c r="F2" s="3"/>
      <c r="G2" s="3"/>
      <c r="H2" s="3"/>
      <c r="I2" s="3"/>
      <c r="J2" s="3"/>
      <c r="K2" s="3"/>
      <c r="L2" s="3"/>
      <c r="M2" s="3"/>
    </row>
    <row r="3" spans="1:13" x14ac:dyDescent="0.3">
      <c r="A3" s="3"/>
      <c r="B3" s="3"/>
      <c r="C3" s="3"/>
      <c r="D3" s="3"/>
      <c r="E3" s="3"/>
      <c r="F3" s="3"/>
      <c r="G3" s="3"/>
      <c r="H3" s="3"/>
      <c r="I3" s="3"/>
      <c r="J3" s="3"/>
      <c r="K3" s="3"/>
      <c r="L3" s="3"/>
      <c r="M3" s="3"/>
    </row>
    <row r="4" spans="1:13" x14ac:dyDescent="0.3">
      <c r="A4" s="3"/>
      <c r="B4" s="3"/>
      <c r="C4" s="3"/>
      <c r="D4" s="3"/>
      <c r="E4" s="3"/>
      <c r="F4" s="3"/>
      <c r="G4" s="3"/>
      <c r="H4" s="3"/>
      <c r="I4" s="3"/>
      <c r="J4" s="3"/>
      <c r="K4" s="3"/>
      <c r="L4" s="3"/>
      <c r="M4" s="3"/>
    </row>
    <row r="5" spans="1:13" x14ac:dyDescent="0.3">
      <c r="A5" s="3"/>
      <c r="B5" s="3"/>
      <c r="C5" s="3"/>
      <c r="D5" s="3"/>
      <c r="E5" s="3"/>
      <c r="F5" s="3"/>
      <c r="G5" s="3"/>
      <c r="H5" s="3"/>
      <c r="I5" s="3"/>
      <c r="J5" s="3"/>
      <c r="K5" s="3"/>
      <c r="L5" s="3"/>
      <c r="M5" s="3"/>
    </row>
    <row r="6" spans="1:13" x14ac:dyDescent="0.3">
      <c r="A6" s="3"/>
      <c r="B6" s="3"/>
      <c r="C6" s="3"/>
      <c r="D6" s="3"/>
      <c r="E6" s="3"/>
      <c r="F6" s="3"/>
      <c r="G6" s="3"/>
      <c r="H6" s="3"/>
      <c r="I6" s="3"/>
      <c r="J6" s="3"/>
      <c r="K6" s="3"/>
      <c r="L6" s="3"/>
      <c r="M6" s="3"/>
    </row>
    <row r="7" spans="1:13" x14ac:dyDescent="0.3">
      <c r="A7" s="3"/>
      <c r="B7" s="3"/>
      <c r="C7" s="3"/>
      <c r="D7" s="3"/>
      <c r="E7" s="3"/>
      <c r="F7" s="3"/>
      <c r="G7" s="3"/>
      <c r="H7" s="3"/>
      <c r="I7" s="3"/>
      <c r="J7" s="3"/>
      <c r="K7" s="3"/>
      <c r="L7" s="3"/>
      <c r="M7" s="3"/>
    </row>
    <row r="8" spans="1:13" x14ac:dyDescent="0.3">
      <c r="A8" s="3"/>
      <c r="B8" s="3"/>
      <c r="C8" s="3"/>
      <c r="D8" s="3"/>
      <c r="E8" s="3"/>
      <c r="F8" s="3"/>
      <c r="G8" s="3"/>
      <c r="H8" s="3"/>
      <c r="I8" s="3"/>
      <c r="J8" s="3"/>
      <c r="K8" s="3"/>
      <c r="L8" s="3"/>
      <c r="M8" s="3"/>
    </row>
    <row r="9" spans="1:13" x14ac:dyDescent="0.3">
      <c r="A9" s="3"/>
      <c r="B9" s="3"/>
      <c r="C9" s="3"/>
      <c r="D9" s="3"/>
      <c r="E9" s="3"/>
      <c r="F9" s="3"/>
      <c r="G9" s="3"/>
      <c r="H9" s="3"/>
      <c r="I9" s="3"/>
      <c r="J9" s="3"/>
      <c r="K9" s="3"/>
      <c r="L9" s="3"/>
      <c r="M9" s="3"/>
    </row>
    <row r="10" spans="1:13" x14ac:dyDescent="0.3">
      <c r="A10" s="3"/>
      <c r="B10" s="3"/>
      <c r="C10" s="3"/>
      <c r="D10" s="3"/>
      <c r="E10" s="3"/>
      <c r="F10" s="3"/>
      <c r="G10" s="3"/>
      <c r="H10" s="3"/>
      <c r="I10" s="3"/>
      <c r="J10" s="3"/>
      <c r="K10" s="3"/>
      <c r="L10" s="3"/>
      <c r="M10" s="3"/>
    </row>
    <row r="11" spans="1:13" x14ac:dyDescent="0.3">
      <c r="A11" s="3"/>
      <c r="B11" s="3"/>
      <c r="C11" s="3"/>
      <c r="D11" s="3"/>
      <c r="E11" s="3"/>
      <c r="F11" s="3"/>
      <c r="G11" s="3"/>
      <c r="H11" s="3"/>
      <c r="I11" s="3"/>
      <c r="J11" s="3"/>
      <c r="K11" s="3"/>
      <c r="L11" s="3"/>
      <c r="M11" s="3"/>
    </row>
    <row r="12" spans="1:13" x14ac:dyDescent="0.3">
      <c r="A12" s="3"/>
      <c r="B12" s="3"/>
      <c r="C12" s="3"/>
      <c r="D12" s="3"/>
      <c r="E12" s="3"/>
      <c r="F12" s="3"/>
      <c r="G12" s="3"/>
      <c r="H12" s="3"/>
      <c r="I12" s="3"/>
      <c r="J12" s="3"/>
      <c r="K12" s="3"/>
      <c r="L12" s="3"/>
      <c r="M12" s="3"/>
    </row>
    <row r="13" spans="1:13" x14ac:dyDescent="0.3">
      <c r="A13" s="3"/>
      <c r="B13" s="3"/>
      <c r="C13" s="3"/>
      <c r="D13" s="3"/>
      <c r="E13" s="3"/>
      <c r="F13" s="3"/>
      <c r="G13" s="3"/>
      <c r="H13" s="3"/>
      <c r="I13" s="3"/>
      <c r="J13" s="3"/>
      <c r="K13" s="3"/>
      <c r="L13" s="3"/>
      <c r="M13" s="3"/>
    </row>
    <row r="14" spans="1:13" x14ac:dyDescent="0.3">
      <c r="A14" s="3"/>
      <c r="B14" s="3"/>
      <c r="C14" s="3"/>
      <c r="D14" s="3"/>
      <c r="E14" s="3"/>
      <c r="F14" s="3"/>
      <c r="G14" s="3"/>
      <c r="H14" s="3"/>
      <c r="I14" s="3"/>
      <c r="J14" s="3"/>
      <c r="K14" s="3"/>
      <c r="L14" s="3"/>
      <c r="M14" s="3"/>
    </row>
    <row r="15" spans="1:13" x14ac:dyDescent="0.3">
      <c r="A15" s="3"/>
      <c r="B15" s="3"/>
      <c r="C15" s="3"/>
      <c r="D15" s="3"/>
      <c r="E15" s="3"/>
      <c r="F15" s="3"/>
      <c r="G15" s="3"/>
      <c r="H15" s="3"/>
      <c r="I15" s="3"/>
      <c r="J15" s="3"/>
      <c r="K15" s="3"/>
      <c r="L15" s="3"/>
      <c r="M15" s="3"/>
    </row>
    <row r="16" spans="1:13" x14ac:dyDescent="0.3">
      <c r="A16" s="3"/>
      <c r="B16" s="3"/>
      <c r="C16" s="3"/>
      <c r="D16" s="3"/>
      <c r="E16" s="3"/>
      <c r="F16" s="3"/>
      <c r="G16" s="3"/>
      <c r="H16" s="3"/>
      <c r="I16" s="3"/>
      <c r="J16" s="3"/>
      <c r="K16" s="3"/>
      <c r="L16" s="3"/>
      <c r="M16" s="3"/>
    </row>
    <row r="17" spans="1:13" x14ac:dyDescent="0.3">
      <c r="A17" s="3"/>
      <c r="B17" s="3"/>
      <c r="C17" s="3"/>
      <c r="D17" s="3"/>
      <c r="E17" s="3"/>
      <c r="F17" s="3"/>
      <c r="G17" s="3"/>
      <c r="H17" s="3"/>
      <c r="I17" s="3"/>
      <c r="J17" s="3"/>
      <c r="K17" s="3"/>
      <c r="L17" s="3"/>
      <c r="M17" s="3"/>
    </row>
  </sheetData>
  <pageMargins left="0.7" right="0.7" top="0.75" bottom="0.75" header="0.3" footer="0.3"/>
  <drawing r:id="rId1"/>
  <legacyDrawing r:id="rId2"/>
  <extLst>
    <ext xmlns:x14="http://schemas.microsoft.com/office/spreadsheetml/2009/9/main" uri="{A8765BA9-456A-4dab-B4F3-ACF838C121DE}">
      <x14:slicerList>
        <x14:slicer r:id="rId3"/>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EE48F1-897C-4C06-8ACB-D73ECB3A806C}">
  <dimension ref="A1"/>
  <sheetViews>
    <sheetView workbookViewId="0"/>
  </sheetViews>
  <sheetFormatPr defaultRowHeight="14.4" x14ac:dyDescent="0.3"/>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6DC06E-0E0A-4110-9D67-F95C2CDC8078}">
  <dimension ref="A1"/>
  <sheetViews>
    <sheetView workbookViewId="0"/>
  </sheetViews>
  <sheetFormatPr defaultRowHeight="14.4" x14ac:dyDescent="0.3"/>
  <sheetData/>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B4CA1B-66F0-4FE9-960B-ACA895B1185B}">
  <dimension ref="A1"/>
  <sheetViews>
    <sheetView workbookViewId="0"/>
  </sheetViews>
  <sheetFormatPr defaultRowHeight="14.4" x14ac:dyDescent="0.3"/>
  <sheetData/>
  <pageMargins left="0.7" right="0.7" top="0.75" bottom="0.75" header="0.3" footer="0.3"/>
  <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Props1.xml><?xml version="1.0" encoding="utf-8"?>
<ds:datastoreItem xmlns:ds="http://schemas.openxmlformats.org/officeDocument/2006/customXml" ds:itemID="{2D33E9CC-C518-487B-8D9C-4055E4EC34A6}">
  <ds:schemaRefs/>
</ds:datastoreItem>
</file>

<file path=customXml/itemProps2.xml><?xml version="1.0" encoding="utf-8"?>
<ds:datastoreItem xmlns:ds="http://schemas.openxmlformats.org/officeDocument/2006/customXml" ds:itemID="{BD9039C3-8568-4B91-9CBD-EB7B2575321B}">
  <ds:schemaRefs/>
</ds:datastoreItem>
</file>

<file path=customXml/itemProps3.xml><?xml version="1.0" encoding="utf-8"?>
<ds:datastoreItem xmlns:ds="http://schemas.openxmlformats.org/officeDocument/2006/customXml" ds:itemID="{06EE6657-F795-4D6C-B7A5-3597C80FF9AA}">
  <ds:schemaRefs/>
</ds:datastoreItem>
</file>

<file path=customXml/itemProps4.xml><?xml version="1.0" encoding="utf-8"?>
<ds:datastoreItem xmlns:ds="http://schemas.openxmlformats.org/officeDocument/2006/customXml" ds:itemID="{780FED4C-357D-4577-BAF0-943AB1CA472E}">
  <ds:schemaRefs/>
</ds:datastoreItem>
</file>

<file path=customXml/itemProps5.xml><?xml version="1.0" encoding="utf-8"?>
<ds:datastoreItem xmlns:ds="http://schemas.openxmlformats.org/officeDocument/2006/customXml" ds:itemID="{AF61073E-A3F6-4570-893D-D232A1E14516}">
  <ds:schemaRefs/>
</ds:datastoreItem>
</file>

<file path=customXml/itemProps6.xml><?xml version="1.0" encoding="utf-8"?>
<ds:datastoreItem xmlns:ds="http://schemas.openxmlformats.org/officeDocument/2006/customXml" ds:itemID="{62FB5AA4-C5F0-49EE-B0CA-7C0733E94E06}">
  <ds:schemaRefs/>
</ds:datastoreItem>
</file>

<file path=customXml/itemProps7.xml><?xml version="1.0" encoding="utf-8"?>
<ds:datastoreItem xmlns:ds="http://schemas.openxmlformats.org/officeDocument/2006/customXml" ds:itemID="{7DB13E47-C6AC-48F4-AD31-FED02BF3F79E}">
  <ds:schemaRefs/>
</ds:datastoreItem>
</file>

<file path=customXml/itemProps8.xml><?xml version="1.0" encoding="utf-8"?>
<ds:datastoreItem xmlns:ds="http://schemas.openxmlformats.org/officeDocument/2006/customXml" ds:itemID="{58139DD7-8BC7-4929-9F57-A95398EC60B5}">
  <ds:schemaRefs>
    <ds:schemaRef ds:uri="http://schemas.microsoft.com/DataMashup"/>
  </ds:schemaRefs>
</ds:datastoreItem>
</file>

<file path=customXml/itemProps9.xml><?xml version="1.0" encoding="utf-8"?>
<ds:datastoreItem xmlns:ds="http://schemas.openxmlformats.org/officeDocument/2006/customXml" ds:itemID="{29267018-67B5-466E-BC50-1B92B057E1AB}">
  <ds:schemaRefs/>
</ds:datastoreItem>
</file>

<file path=customXml/itemProps10.xml><?xml version="1.0" encoding="utf-8"?>
<ds:datastoreItem xmlns:ds="http://schemas.openxmlformats.org/officeDocument/2006/customXml" ds:itemID="{8BE0AE0C-0810-43A4-8935-8F2B1CF210AB}">
  <ds:schemaRefs/>
</ds:datastoreItem>
</file>

<file path=customXml/itemProps11.xml><?xml version="1.0" encoding="utf-8"?>
<ds:datastoreItem xmlns:ds="http://schemas.openxmlformats.org/officeDocument/2006/customXml" ds:itemID="{581C93B7-57B4-4700-B6A5-3DAF2750C3FF}">
  <ds:schemaRefs/>
</ds:datastoreItem>
</file>

<file path=customXml/itemProps12.xml><?xml version="1.0" encoding="utf-8"?>
<ds:datastoreItem xmlns:ds="http://schemas.openxmlformats.org/officeDocument/2006/customXml" ds:itemID="{6488BEAE-B628-423B-A50C-81F4804D53CB}">
  <ds:schemaRefs/>
</ds:datastoreItem>
</file>

<file path=customXml/itemProps13.xml><?xml version="1.0" encoding="utf-8"?>
<ds:datastoreItem xmlns:ds="http://schemas.openxmlformats.org/officeDocument/2006/customXml" ds:itemID="{0CC43A8C-4003-40A6-82AC-B90B337F9403}">
  <ds:schemaRefs/>
</ds:datastoreItem>
</file>

<file path=customXml/itemProps14.xml><?xml version="1.0" encoding="utf-8"?>
<ds:datastoreItem xmlns:ds="http://schemas.openxmlformats.org/officeDocument/2006/customXml" ds:itemID="{D199FA16-9636-49D5-9EFD-F0CA01E9C954}">
  <ds:schemaRefs/>
</ds:datastoreItem>
</file>

<file path=customXml/itemProps15.xml><?xml version="1.0" encoding="utf-8"?>
<ds:datastoreItem xmlns:ds="http://schemas.openxmlformats.org/officeDocument/2006/customXml" ds:itemID="{423D5EEE-2360-40B0-BA5C-8CB38D275C25}">
  <ds:schemaRefs/>
</ds:datastoreItem>
</file>

<file path=customXml/itemProps16.xml><?xml version="1.0" encoding="utf-8"?>
<ds:datastoreItem xmlns:ds="http://schemas.openxmlformats.org/officeDocument/2006/customXml" ds:itemID="{2DF92CCD-2810-4602-A297-A4DC681B36A6}">
  <ds:schemaRefs/>
</ds:datastoreItem>
</file>

<file path=customXml/itemProps17.xml><?xml version="1.0" encoding="utf-8"?>
<ds:datastoreItem xmlns:ds="http://schemas.openxmlformats.org/officeDocument/2006/customXml" ds:itemID="{BEEA6266-B24E-4785-81D7-64CCE9AED72B}">
  <ds:schemaRefs/>
</ds:datastoreItem>
</file>

<file path=customXml/itemProps18.xml><?xml version="1.0" encoding="utf-8"?>
<ds:datastoreItem xmlns:ds="http://schemas.openxmlformats.org/officeDocument/2006/customXml" ds:itemID="{E0A66FF7-F268-4F88-AABD-1B8E136278A3}">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Pivot Report</vt:lpstr>
      <vt:lpstr>Dashboard</vt:lpstr>
      <vt:lpstr>Daily ER no of patients</vt:lpstr>
      <vt:lpstr>Average waittime per day</vt:lpstr>
      <vt:lpstr>Average Satisfaction Score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shubham singh</dc:creator>
  <cp:lastModifiedBy>shubham singh</cp:lastModifiedBy>
  <dcterms:created xsi:type="dcterms:W3CDTF">2025-12-15T05:52:50Z</dcterms:created>
  <dcterms:modified xsi:type="dcterms:W3CDTF">2025-12-17T15:40:32Z</dcterms:modified>
</cp:coreProperties>
</file>